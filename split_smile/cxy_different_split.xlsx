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512bbfe3db47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高耗时分子" sheetId="1" r:id="Rc46a163fcdf24578"/>
    <x:sheet xmlns:r="http://schemas.openxmlformats.org/officeDocument/2006/relationships" name="低耗时分子" sheetId="2" r:id="R164b39f431854d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E+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B91C1C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047857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c477cd474f45cc" /><Relationship Type="http://schemas.openxmlformats.org/officeDocument/2006/relationships/theme" Target="/xl/theme/theme1.xml" Id="R53d81e0e36c5468a" /><Relationship Type="http://schemas.openxmlformats.org/officeDocument/2006/relationships/sharedStrings" Target="/xl/sharedStrings.xml" Id="R1e10edf4b7b3462a" /><Relationship Type="http://schemas.openxmlformats.org/officeDocument/2006/relationships/worksheet" Target="/xl/worksheets/sheet1.xml" Id="Rc46a163fcdf24578" /><Relationship Type="http://schemas.openxmlformats.org/officeDocument/2006/relationships/worksheet" Target="/xl/worksheets/sheet2.xml" Id="R164b39f431854d5e" /></Relationships>
</file>

<file path=xl/tables/table1.xml><?xml version="1.0" encoding="utf-8"?>
<x:table xmlns:x="http://schemas.openxmlformats.org/spreadsheetml/2006/main" id="1" name="HighRuntimeMolecules" displayName="HighRuntimeMolecules" ref="A1:I31" headerRowCount="1" totalsRowCount="0" totalsRowShown="0">
  <x:autoFilter ref="A1:I31"/>
  <x:tableColumns count="9">
    <x:tableColumn id="1" name="molecule_id"/>
    <x:tableColumn id="2" name="smiles"/>
    <x:tableColumn id="3" name="heavy_atom_count"/>
    <x:tableColumn id="4" name="ring_bond_count"/>
    <x:tableColumn id="5" name="component_count"/>
    <x:tableColumn id="6" name="estimated_bond_count"/>
    <x:tableColumn id="7" name="theoretical_bond_subsets"/>
    <x:tableColumn id="8" name="estimated_hours"/>
    <x:tableColumn id="9" name="runtime_grou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wRuntimeMolecules" displayName="LowRuntimeMolecules" ref="A1:I82" headerRowCount="1" totalsRowCount="0" totalsRowShown="0">
  <x:autoFilter ref="A1:I82"/>
  <x:tableColumns count="9">
    <x:tableColumn id="1" name="molecule_id"/>
    <x:tableColumn id="2" name="smiles"/>
    <x:tableColumn id="3" name="heavy_atom_count"/>
    <x:tableColumn id="4" name="ring_bond_count"/>
    <x:tableColumn id="5" name="component_count"/>
    <x:tableColumn id="6" name="estimated_bond_count"/>
    <x:tableColumn id="7" name="theoretical_bond_subsets"/>
    <x:tableColumn id="8" name="estimated_hours"/>
    <x:tableColumn id="9" name="runtime_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494348281447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f4cbfacc954b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20" hidden="0" customWidth="1"/>
    <x:col min="9" max="9" width="12" hidden="0" customWidth="1"/>
    <x:col min="11" max="11" width="22" hidden="0" customWidth="1"/>
    <x:col min="12" max="12" width="58" hidden="0" customWidth="1"/>
  </x:cols>
  <x:sheetData>
    <x:row r="1" ht="32" customHeight="1">
      <x:c r="A1" s="4" t="str">
        <x:v>molecule_id</x:v>
      </x:c>
      <x:c r="B1" s="4" t="str">
        <x:v>smiles</x:v>
      </x:c>
      <x:c r="C1" s="4" t="str">
        <x:v>heavy_atom_count</x:v>
      </x:c>
      <x:c r="D1" s="4" t="str">
        <x:v>ring_bond_count</x:v>
      </x:c>
      <x:c r="E1" s="4" t="str">
        <x:v>component_count</x:v>
      </x:c>
      <x:c r="F1" s="4" t="str">
        <x:v>estimated_bond_count</x:v>
      </x:c>
      <x:c r="G1" s="4" t="str">
        <x:v>theoretical_bond_subsets</x:v>
      </x:c>
      <x:c r="H1" s="4" t="str">
        <x:v>estimated_hours</x:v>
      </x:c>
      <x:c r="I1" s="4" t="str">
        <x:v>runtime_group</x:v>
      </x:c>
      <x:c r="K1" s="6" t="str">
        <x:v>Parameter</x:v>
      </x:c>
      <x:c r="L1" s="6" t="str">
        <x:v>Value</x:v>
      </x:c>
    </x:row>
    <x:row r="2">
      <x:c r="A2" s="9" t="str">
        <x:v>1180</x:v>
      </x:c>
      <x:c r="B2" s="12" t="str">
        <x:v>COc1cc(CC2c3c(cc(OC)c(OC)c3OC)CC[N+]2(C)CCCOC(=O)CCC(=O)OCCC[N+]2(C)CCc3cc(OC)c(OC)c(OC)c3C2Cc2cc(OC)c(OC)c(OC)c2)cc(OC)c1OC</x:v>
      </x:c>
      <x:c r="C2" s="10" t="n">
        <x:v>74</x:v>
      </x:c>
      <x:c r="D2" s="10" t="n">
        <x:v>6</x:v>
      </x:c>
      <x:c r="E2" s="10" t="n">
        <x:v>1</x:v>
      </x:c>
      <x:c r="F2" s="10" t="n">
        <x:f>C2-E2+D2</x:f>
        <x:v>79</x:v>
      </x:c>
      <x:c r="G2" s="11" t="n">
        <x:f>POWER(2,F2)</x:f>
        <x:v>6.044629098073146e+23</x:v>
      </x:c>
      <x:c r="H2" s="11" t="n">
        <x:f>G2/$L$3/3600</x:f>
        <x:v>10390508907426806</x:v>
      </x:c>
      <x:c r="I2" s="9" t="str">
        <x:f>IF(F2&gt;=$L$2,"High","Low")</x:f>
        <x:v>High</x:v>
      </x:c>
      <x:c r="K2" t="str">
        <x:v>High-runtime bond threshold</x:v>
      </x:c>
      <x:c r="L2" t="n">
        <x:v>30</x:v>
      </x:c>
    </x:row>
    <x:row r="3">
      <x:c r="A3" s="9" t="str">
        <x:v>1251</x:v>
      </x:c>
      <x:c r="B3" s="12" t="str">
        <x:v>CC[C@]1(O)C[C@H]2CN(CCc3c([nH]c4ccccc34)[C@@](C(=O)OC)(c3cc4c(cc3OC)N(C=O)[C@H]3[C@@](O)(C(=O)OC)[C@H](OC(C)=O)[C@]5(CC)C=CCN6CC[C@]43[C@@H]65)C2)C1</x:v>
      </x:c>
      <x:c r="C3" s="10" t="n">
        <x:v>60</x:v>
      </x:c>
      <x:c r="D3" s="10" t="n">
        <x:v>9</x:v>
      </x:c>
      <x:c r="E3" s="10" t="n">
        <x:v>1</x:v>
      </x:c>
      <x:c r="F3" s="10" t="n">
        <x:f>C3-E3+D3</x:f>
        <x:v>68</x:v>
      </x:c>
      <x:c r="G3" s="11" t="n">
        <x:f>POWER(2,F3)</x:f>
        <x:v>295147905179352830000</x:v>
      </x:c>
      <x:c r="H3" s="11" t="n">
        <x:f>G3/$L$3/3600</x:f>
        <x:v>5073490677454.495</x:v>
      </x:c>
      <x:c r="I3" s="9" t="str">
        <x:f>IF(F3&gt;=$L$2,"High","Low")</x:f>
        <x:v>High</x:v>
      </x:c>
      <x:c r="K3" t="str">
        <x:v>Processing rate (fragments/sec)</x:v>
      </x:c>
      <x:c r="L3" t="n">
        <x:v>16159.59</x:v>
      </x:c>
    </x:row>
    <x:row r="4">
      <x:c r="A4" s="9" t="str">
        <x:v>1185</x:v>
      </x:c>
      <x:c r="B4" s="12" t="str">
        <x:v>C=C1C[C@@H]2CC[C@@]34C[C@H]5O[C@H]6[C@@H](O3)[C@H]3O[C@H](CC[C@@H]3O[C@H]6[C@H]5O4)CC(=O)C[C@@H]3[C@@H](OC)[C@@H](C[C@H](O)CN)O[C@H]3C[C@H]3O[C@@H](CC[C@@H]1O2)C[C@@H](C)C3=C</x:v>
      </x:c>
      <x:c r="C4" s="10" t="n">
        <x:v>52</x:v>
      </x:c>
      <x:c r="D4" s="10" t="n">
        <x:v>9</x:v>
      </x:c>
      <x:c r="E4" s="10" t="n">
        <x:v>1</x:v>
      </x:c>
      <x:c r="F4" s="10" t="n">
        <x:f>C4-E4+D4</x:f>
        <x:v>60</x:v>
      </x:c>
      <x:c r="G4" s="11" t="n">
        <x:f>POWER(2,F4)</x:f>
        <x:v>1152921504606847000</x:v>
      </x:c>
      <x:c r="H4" s="11" t="n">
        <x:f>G4/$L$3/3600</x:f>
        <x:v>19818322958.80662</x:v>
      </x:c>
      <x:c r="I4" s="9" t="str">
        <x:f>IF(F4&gt;=$L$2,"High","Low")</x:f>
        <x:v>High</x:v>
      </x:c>
      <x:c r="K4" t="str">
        <x:v>Rows in this sheet</x:v>
      </x:c>
      <x:c r="L4" t="n">
        <x:v>30</x:v>
      </x:c>
    </x:row>
    <x:row r="5">
      <x:c r="A5" s="9" t="str">
        <x:v>1199</x:v>
      </x:c>
      <x:c r="B5" s="12" t="str">
        <x:v>CNCC(=O)OCc1cccnc1N(C)C(=O)OC(C)[n+]1cnn(C[C@](O)(c2cc(F)ccc2F)[C@@H](C)c2nc(-c3ccc(C#N)cc3)cs2)c1</x:v>
      </x:c>
      <x:c r="C5" s="10" t="n">
        <x:v>51</x:v>
      </x:c>
      <x:c r="D5" s="10" t="n">
        <x:v>5</x:v>
      </x:c>
      <x:c r="E5" s="10" t="n">
        <x:v>1</x:v>
      </x:c>
      <x:c r="F5" s="10" t="n">
        <x:f>C5-E5+D5</x:f>
        <x:v>55</x:v>
      </x:c>
      <x:c r="G5" s="11" t="n">
        <x:f>POWER(2,F5)</x:f>
        <x:v>36028797018963970</x:v>
      </x:c>
      <x:c r="H5" s="11" t="n">
        <x:f>G5/$L$3/3600</x:f>
        <x:v>619322592.4627069</x:v>
      </x:c>
      <x:c r="I5" s="9" t="str">
        <x:f>IF(F5&gt;=$L$2,"High","Low")</x:f>
        <x:v>High</x:v>
      </x:c>
    </x:row>
    <x:row r="6">
      <x:c r="A6" s="9" t="str">
        <x:v>1160</x:v>
      </x:c>
      <x:c r="B6" s="12" t="str">
        <x:v>CC(C)C[C@H]1C(=O)N2CCC[C@H]2[C@]2(O)O[C@](NC(=O)[C@@H]3C=C4c5cccc6[nH]c(Br)c(c56)C[C@H]4N(C)C3)(C(C)C)C(=O)N12</x:v>
      </x:c>
      <x:c r="C6" s="10" t="n">
        <x:v>43</x:v>
      </x:c>
      <x:c r="D6" s="10" t="n">
        <x:v>7</x:v>
      </x:c>
      <x:c r="E6" s="10" t="n">
        <x:v>1</x:v>
      </x:c>
      <x:c r="F6" s="10" t="n">
        <x:f>C6-E6+D6</x:f>
        <x:v>49</x:v>
      </x:c>
      <x:c r="G6" s="11" t="n">
        <x:f>POWER(2,F6)</x:f>
        <x:v>562949953421312</x:v>
      </x:c>
      <x:c r="H6" s="11" t="n">
        <x:f>G6/$L$3/3600</x:f>
        <x:v>9676915.507229796</x:v>
      </x:c>
      <x:c r="I6" s="9" t="str">
        <x:f>IF(F6&gt;=$L$2,"High","Low")</x:f>
        <x:v>High</x:v>
      </x:c>
      <x:c r="K6" s="8" t="str">
        <x:v>Notes</x:v>
      </x:c>
      <x:c r="L6" s="8"/>
    </x:row>
    <x:row r="7">
      <x:c r="A7" s="9" t="str">
        <x:v>1198</x:v>
      </x:c>
      <x:c r="B7" s="12" t="str">
        <x:v>CCc1c2c(nc3ccc(OC(=O)N4CCC(N5CCCCC5)CC4)cc13)-c1cc3c(c(=O)n1C2)COC(=O)[C@]3(O)CC</x:v>
      </x:c>
      <x:c r="C7" s="10" t="n">
        <x:v>43</x:v>
      </x:c>
      <x:c r="D7" s="10" t="n">
        <x:v>7</x:v>
      </x:c>
      <x:c r="E7" s="10" t="n">
        <x:v>1</x:v>
      </x:c>
      <x:c r="F7" s="10" t="n">
        <x:f>C7-E7+D7</x:f>
        <x:v>49</x:v>
      </x:c>
      <x:c r="G7" s="11" t="n">
        <x:f>POWER(2,F7)</x:f>
        <x:v>562949953421312</x:v>
      </x:c>
      <x:c r="H7" s="11" t="n">
        <x:f>G7/$L$3/3600</x:f>
        <x:v>9676915.507229796</x:v>
      </x:c>
      <x:c r="I7" s="9" t="str">
        <x:f>IF(F7&gt;=$L$2,"High","Low")</x:f>
        <x:v>High</x:v>
      </x:c>
      <x:c r="K7" t="str">
        <x:v>Group rule</x:v>
      </x:c>
      <x:c r="L7" t="str">
        <x:v>estimated bonds &gt;= 30</x:v>
      </x:c>
    </x:row>
    <x:row r="8">
      <x:c r="A8" s="9" t="str">
        <x:v>1237</x:v>
      </x:c>
      <x:c r="B8" s="12" t="str">
        <x:v>C=CC[N+]1([C@H]2C[C@H]3[C@@H]4CC[C@H]5C[C@H](OC(C)=O)[C@@H](N6CCCCC6)C[C@]5(C)[C@H]4CC[C@]3(C)[C@H]2OC(=O)CC)CCCCC1</x:v>
      </x:c>
      <x:c r="C8" s="10" t="n">
        <x:v>43</x:v>
      </x:c>
      <x:c r="D8" s="10" t="n">
        <x:v>6</x:v>
      </x:c>
      <x:c r="E8" s="10" t="n">
        <x:v>1</x:v>
      </x:c>
      <x:c r="F8" s="10" t="n">
        <x:f>C8-E8+D8</x:f>
        <x:v>48</x:v>
      </x:c>
      <x:c r="G8" s="11" t="n">
        <x:f>POWER(2,F8)</x:f>
        <x:v>281474976710656</x:v>
      </x:c>
      <x:c r="H8" s="11" t="n">
        <x:f>G8/$L$3/3600</x:f>
        <x:v>4838457.753614898</x:v>
      </x:c>
      <x:c r="I8" s="9" t="str">
        <x:f>IF(F8&gt;=$L$2,"High","Low")</x:f>
        <x:v>High</x:v>
      </x:c>
      <x:c r="K8" t="str">
        <x:v>Method</x:v>
      </x:c>
      <x:c r="L8" s="12" t="str">
        <x:v>bonds = heavy atoms - components + ring bonds; time uses the 2^bonds upper bound</x:v>
      </x:c>
    </x:row>
    <x:row r="9">
      <x:c r="A9" s="9" t="str">
        <x:v>1220</x:v>
      </x:c>
      <x:c r="B9" s="12" t="str">
        <x:v>CC(=O)O[C@H]1C[C@@H]2CC[C@@H]3[C@H](CC[C@@]4(C)[C@H]3C[C@H]([N+]3(C)CCCCC3)[C@@H]4OC(C)=O)[C@@]2(C)C[C@@H]1[N+]1(C)CCCCC1</x:v>
      </x:c>
      <x:c r="C9" s="10" t="n">
        <x:v>41</x:v>
      </x:c>
      <x:c r="D9" s="10" t="n">
        <x:v>6</x:v>
      </x:c>
      <x:c r="E9" s="10" t="n">
        <x:v>1</x:v>
      </x:c>
      <x:c r="F9" s="10" t="n">
        <x:f>C9-E9+D9</x:f>
        <x:v>46</x:v>
      </x:c>
      <x:c r="G9" s="11" t="n">
        <x:f>POWER(2,F9)</x:f>
        <x:v>70368744177664</x:v>
      </x:c>
      <x:c r="H9" s="11" t="n">
        <x:f>G9/$L$3/3600</x:f>
        <x:v>1209614.4384037245</x:v>
      </x:c>
      <x:c r="I9" s="9" t="str">
        <x:f>IF(F9&gt;=$L$2,"High","Low")</x:f>
        <x:v>High</x:v>
      </x:c>
    </x:row>
    <x:row r="10">
      <x:c r="A10" s="9" t="str">
        <x:v>1181</x:v>
      </x:c>
      <x:c r="B10" s="12" t="str">
        <x:v>COc1cccc2c1C(=O)c1c(O)c3c(c(O)c1C2=O)C[C@@](O)(C(=O)CO)C[C@@H]3O[C@H]1C[C@H](N)[C@H](O)[C@H](C)O1</x:v>
      </x:c>
      <x:c r="C10" s="10" t="n">
        <x:v>39</x:v>
      </x:c>
      <x:c r="D10" s="10" t="n">
        <x:v>5</x:v>
      </x:c>
      <x:c r="E10" s="10" t="n">
        <x:v>1</x:v>
      </x:c>
      <x:c r="F10" s="10" t="n">
        <x:f>C10-E10+D10</x:f>
        <x:v>43</x:v>
      </x:c>
      <x:c r="G10" s="11" t="n">
        <x:f>POWER(2,F10)</x:f>
        <x:v>8796093022208</x:v>
      </x:c>
      <x:c r="H10" s="11" t="n">
        <x:f>G10/$L$3/3600</x:f>
        <x:v>151201.80480046556</x:v>
      </x:c>
      <x:c r="I10" s="9" t="str">
        <x:f>IF(F10&gt;=$L$2,"High","Low")</x:f>
        <x:v>High</x:v>
      </x:c>
    </x:row>
    <x:row r="11">
      <x:c r="A11" s="9" t="str">
        <x:v>1240</x:v>
      </x:c>
      <x:c r="B11" s="12" t="str">
        <x:v>C=CC[N+]1([C@H]2C[C@H]3[C@@H]4CC[C@H]5C[C@H](O)[C@@H](N6CCOCC6)C[C@]5(C)[C@H]4CC[C@]3(C)[C@H]2OC(C)=O)CCCC1</x:v>
      </x:c>
      <x:c r="C11" s="10" t="n">
        <x:v>38</x:v>
      </x:c>
      <x:c r="D11" s="10" t="n">
        <x:v>6</x:v>
      </x:c>
      <x:c r="E11" s="10" t="n">
        <x:v>1</x:v>
      </x:c>
      <x:c r="F11" s="10" t="n">
        <x:f>C11-E11+D11</x:f>
        <x:v>43</x:v>
      </x:c>
      <x:c r="G11" s="11" t="n">
        <x:f>POWER(2,F11)</x:f>
        <x:v>8796093022208</x:v>
      </x:c>
      <x:c r="H11" s="11" t="n">
        <x:f>G11/$L$3/3600</x:f>
        <x:v>151201.80480046556</x:v>
      </x:c>
      <x:c r="I11" s="9" t="str">
        <x:f>IF(F11&gt;=$L$2,"High","Low")</x:f>
        <x:v>High</x:v>
      </x:c>
    </x:row>
    <x:row r="12">
      <x:c r="A12" s="9" t="str">
        <x:v>1188</x:v>
      </x:c>
      <x:c r="B12" s="12" t="str">
        <x:v>CC(C)(C(=O)O)c1ccc(C(O)CCCN2CCC(C(O)(c3ccccc3)c3ccccc3)CC2)cc1</x:v>
      </x:c>
      <x:c r="C12" s="10" t="n">
        <x:v>37</x:v>
      </x:c>
      <x:c r="D12" s="10" t="n">
        <x:v>4</x:v>
      </x:c>
      <x:c r="E12" s="10" t="n">
        <x:v>1</x:v>
      </x:c>
      <x:c r="F12" s="10" t="n">
        <x:f>C12-E12+D12</x:f>
        <x:v>40</x:v>
      </x:c>
      <x:c r="G12" s="11" t="n">
        <x:f>POWER(2,F12)</x:f>
        <x:v>1099511627776</x:v>
      </x:c>
      <x:c r="H12" s="11" t="n">
        <x:f>G12/$L$3/3600</x:f>
        <x:v>18900.225600058195</x:v>
      </x:c>
      <x:c r="I12" s="9" t="str">
        <x:f>IF(F12&gt;=$L$2,"High","Low")</x:f>
        <x:v>High</x:v>
      </x:c>
    </x:row>
    <x:row r="13">
      <x:c r="A13" s="9" t="str">
        <x:v>1173</x:v>
      </x:c>
      <x:c r="B13" s="12" t="str">
        <x:v>CC(=O)N(O)CCCCCNC(=O)CCC(=O)N(O)CCCCCNC(=O)CCC(=O)N(O)CCCCCN</x:v>
      </x:c>
      <x:c r="C13" s="10" t="n">
        <x:v>39</x:v>
      </x:c>
      <x:c r="D13" s="10" t="n">
        <x:v>0</x:v>
      </x:c>
      <x:c r="E13" s="10" t="n">
        <x:v>1</x:v>
      </x:c>
      <x:c r="F13" s="10" t="n">
        <x:f>C13-E13+D13</x:f>
        <x:v>38</x:v>
      </x:c>
      <x:c r="G13" s="11" t="n">
        <x:f>POWER(2,F13)</x:f>
        <x:v>274877906944</x:v>
      </x:c>
      <x:c r="H13" s="11" t="n">
        <x:f>G13/$L$3/3600</x:f>
        <x:v>4725.056400014549</x:v>
      </x:c>
      <x:c r="I13" s="9" t="str">
        <x:f>IF(F13&gt;=$L$2,"High","Low")</x:f>
        <x:v>High</x:v>
      </x:c>
    </x:row>
    <x:row r="14">
      <x:c r="A14" s="9" t="str">
        <x:v>1210</x:v>
      </x:c>
      <x:c r="B14" s="12" t="str">
        <x:v>CCOC(=O)[C@H](CCc1ccccc1)N[C@@H](C)C(=O)N1Cc2cc(OC)c(OC)cc2C[C@H]1C(=O)O</x:v>
      </x:c>
      <x:c r="C14" s="10" t="n">
        <x:v>36</x:v>
      </x:c>
      <x:c r="D14" s="10" t="n">
        <x:v>3</x:v>
      </x:c>
      <x:c r="E14" s="10" t="n">
        <x:v>1</x:v>
      </x:c>
      <x:c r="F14" s="10" t="n">
        <x:f>C14-E14+D14</x:f>
        <x:v>38</x:v>
      </x:c>
      <x:c r="G14" s="11" t="n">
        <x:f>POWER(2,F14)</x:f>
        <x:v>274877906944</x:v>
      </x:c>
      <x:c r="H14" s="11" t="n">
        <x:f>G14/$L$3/3600</x:f>
        <x:v>4725.056400014549</x:v>
      </x:c>
      <x:c r="I14" s="9" t="str">
        <x:f>IF(F14&gt;=$L$2,"High","Low")</x:f>
        <x:v>High</x:v>
      </x:c>
    </x:row>
    <x:row r="15">
      <x:c r="A15" s="9" t="str">
        <x:v>1146</x:v>
      </x:c>
      <x:c r="B15" s="12" t="str">
        <x:v>O=C(O[C@H]1C[N+]2(CCCOc3ccccc3)CCC1CC2)C(O)(c1cccs1)c1cccs1</x:v>
      </x:c>
      <x:c r="C15" s="10" t="n">
        <x:v>33</x:v>
      </x:c>
      <x:c r="D15" s="10" t="n">
        <x:v>5</x:v>
      </x:c>
      <x:c r="E15" s="10" t="n">
        <x:v>1</x:v>
      </x:c>
      <x:c r="F15" s="10" t="n">
        <x:f>C15-E15+D15</x:f>
        <x:v>37</x:v>
      </x:c>
      <x:c r="G15" s="11" t="n">
        <x:f>POWER(2,F15)</x:f>
        <x:v>137438953472</x:v>
      </x:c>
      <x:c r="H15" s="11" t="n">
        <x:f>G15/$L$3/3600</x:f>
        <x:v>2362.5282000072743</x:v>
      </x:c>
      <x:c r="I15" s="9" t="str">
        <x:f>IF(F15&gt;=$L$2,"High","Low")</x:f>
        <x:v>High</x:v>
      </x:c>
    </x:row>
    <x:row r="16">
      <x:c r="A16" s="9" t="str">
        <x:v>1151</x:v>
      </x:c>
      <x:c r="B16" s="12" t="str">
        <x:v>CC[N+](CC)(CCNC(=O)C(=O)NCC[N+](CC)(CC)Cc1ccccc1Cl)Cc1ccccc1Cl</x:v>
      </x:c>
      <x:c r="C16" s="10" t="n">
        <x:v>36</x:v>
      </x:c>
      <x:c r="D16" s="10" t="n">
        <x:v>2</x:v>
      </x:c>
      <x:c r="E16" s="10" t="n">
        <x:v>1</x:v>
      </x:c>
      <x:c r="F16" s="10" t="n">
        <x:f>C16-E16+D16</x:f>
        <x:v>37</x:v>
      </x:c>
      <x:c r="G16" s="11" t="n">
        <x:f>POWER(2,F16)</x:f>
        <x:v>137438953472</x:v>
      </x:c>
      <x:c r="H16" s="11" t="n">
        <x:f>G16/$L$3/3600</x:f>
        <x:v>2362.5282000072743</x:v>
      </x:c>
      <x:c r="I16" s="9" t="str">
        <x:f>IF(F16&gt;=$L$2,"High","Low")</x:f>
        <x:v>High</x:v>
      </x:c>
    </x:row>
    <x:row r="17">
      <x:c r="A17" s="9" t="str">
        <x:v>1171</x:v>
      </x:c>
      <x:c r="B17" s="12" t="str">
        <x:v>O=C(O)c1cc(=O)c2c(OCC(O)COc3cccc4oc(C(=O)O)cc(=O)c34)cccc2o1</x:v>
      </x:c>
      <x:c r="C17" s="10" t="n">
        <x:v>34</x:v>
      </x:c>
      <x:c r="D17" s="10" t="n">
        <x:v>4</x:v>
      </x:c>
      <x:c r="E17" s="10" t="n">
        <x:v>1</x:v>
      </x:c>
      <x:c r="F17" s="10" t="n">
        <x:f>C17-E17+D17</x:f>
        <x:v>37</x:v>
      </x:c>
      <x:c r="G17" s="11" t="n">
        <x:f>POWER(2,F17)</x:f>
        <x:v>137438953472</x:v>
      </x:c>
      <x:c r="H17" s="11" t="n">
        <x:f>G17/$L$3/3600</x:f>
        <x:v>2362.5282000072743</x:v>
      </x:c>
      <x:c r="I17" s="9" t="str">
        <x:f>IF(F17&gt;=$L$2,"High","Low")</x:f>
        <x:v>High</x:v>
      </x:c>
    </x:row>
    <x:row r="18">
      <x:c r="A18" s="9" t="str">
        <x:v>1186</x:v>
      </x:c>
      <x:c r="B18" s="12" t="str">
        <x:v>C[C@]12CC[C@@H]3c4ccc(OC(=O)N(CCCl)CCCl)cc4CC[C@H]3[C@@H]1CC[C@@H]2OP(=O)(O)O</x:v>
      </x:c>
      <x:c r="C18" s="10" t="n">
        <x:v>33</x:v>
      </x:c>
      <x:c r="D18" s="10" t="n">
        <x:v>4</x:v>
      </x:c>
      <x:c r="E18" s="10" t="n">
        <x:v>1</x:v>
      </x:c>
      <x:c r="F18" s="10" t="n">
        <x:f>C18-E18+D18</x:f>
        <x:v>36</x:v>
      </x:c>
      <x:c r="G18" s="11" t="n">
        <x:f>POWER(2,F18)</x:f>
        <x:v>68719476736</x:v>
      </x:c>
      <x:c r="H18" s="11" t="n">
        <x:f>G18/$L$3/3600</x:f>
        <x:v>1181.2641000036372</x:v>
      </x:c>
      <x:c r="I18" s="9" t="str">
        <x:f>IF(F18&gt;=$L$2,"High","Low")</x:f>
        <x:v>High</x:v>
      </x:c>
    </x:row>
    <x:row r="19">
      <x:c r="A19" s="9" t="str">
        <x:v>1214</x:v>
      </x:c>
      <x:c r="B19" s="12" t="str">
        <x:v>CCc1nn(CCCN2CCN(c3cccc(Cl)c3)CC2)c(=O)n1CCOc1ccccc1</x:v>
      </x:c>
      <x:c r="C19" s="10" t="n">
        <x:v>33</x:v>
      </x:c>
      <x:c r="D19" s="10" t="n">
        <x:v>4</x:v>
      </x:c>
      <x:c r="E19" s="10" t="n">
        <x:v>1</x:v>
      </x:c>
      <x:c r="F19" s="10" t="n">
        <x:f>C19-E19+D19</x:f>
        <x:v>36</x:v>
      </x:c>
      <x:c r="G19" s="11" t="n">
        <x:f>POWER(2,F19)</x:f>
        <x:v>68719476736</x:v>
      </x:c>
      <x:c r="H19" s="11" t="n">
        <x:f>G19/$L$3/3600</x:f>
        <x:v>1181.2641000036372</x:v>
      </x:c>
      <x:c r="I19" s="9" t="str">
        <x:f>IF(F19&gt;=$L$2,"High","Low")</x:f>
        <x:v>High</x:v>
      </x:c>
    </x:row>
    <x:row r="20">
      <x:c r="A20" s="9" t="str">
        <x:v>1246</x:v>
      </x:c>
      <x:c r="B20" s="12" t="str">
        <x:v>CC(C)OC(=O)OCOP(=O)(CO[C@H](C)Cn1cnc2c(N)ncnc21)OCOC(=O)OC(C)C</x:v>
      </x:c>
      <x:c r="C20" s="10" t="n">
        <x:v>35</x:v>
      </x:c>
      <x:c r="D20" s="10" t="n">
        <x:v>2</x:v>
      </x:c>
      <x:c r="E20" s="10" t="n">
        <x:v>1</x:v>
      </x:c>
      <x:c r="F20" s="10" t="n">
        <x:f>C20-E20+D20</x:f>
        <x:v>36</x:v>
      </x:c>
      <x:c r="G20" s="11" t="n">
        <x:f>POWER(2,F20)</x:f>
        <x:v>68719476736</x:v>
      </x:c>
      <x:c r="H20" s="11" t="n">
        <x:f>G20/$L$3/3600</x:f>
        <x:v>1181.2641000036372</x:v>
      </x:c>
      <x:c r="I20" s="9" t="str">
        <x:f>IF(F20&gt;=$L$2,"High","Low")</x:f>
        <x:v>High</x:v>
      </x:c>
    </x:row>
    <x:row r="21">
      <x:c r="A21" s="9" t="str">
        <x:v>1202</x:v>
      </x:c>
      <x:c r="B21" s="12" t="str">
        <x:v>CCCCc1nc(Cl)c(CO)n1Cc1ccc(-c2ccccc2-c2nn[nH]n2)cc1</x:v>
      </x:c>
      <x:c r="C21" s="10" t="n">
        <x:v>30</x:v>
      </x:c>
      <x:c r="D21" s="10" t="n">
        <x:v>4</x:v>
      </x:c>
      <x:c r="E21" s="10" t="n">
        <x:v>1</x:v>
      </x:c>
      <x:c r="F21" s="10" t="n">
        <x:f>C21-E21+D21</x:f>
        <x:v>33</x:v>
      </x:c>
      <x:c r="G21" s="11" t="n">
        <x:f>POWER(2,F21)</x:f>
        <x:v>8589934592</x:v>
      </x:c>
      <x:c r="H21" s="11" t="n">
        <x:f>G21/$L$3/3600</x:f>
        <x:v>147.65801250045465</x:v>
      </x:c>
      <x:c r="I21" s="9" t="str">
        <x:f>IF(F21&gt;=$L$2,"High","Low")</x:f>
        <x:v>High</x:v>
      </x:c>
    </x:row>
    <x:row r="22">
      <x:c r="A22" s="9" t="str">
        <x:v>1238</x:v>
      </x:c>
      <x:c r="B22" s="12" t="str">
        <x:v>Cc1cc2nc3c(=O)[nH]c(=O)nc-3n(C[C@H](O)[C@H](O)[C@H](O)COP(=O)(O)O)c2cc1C</x:v>
      </x:c>
      <x:c r="C22" s="10" t="n">
        <x:v>31</x:v>
      </x:c>
      <x:c r="D22" s="10" t="n">
        <x:v>3</x:v>
      </x:c>
      <x:c r="E22" s="10" t="n">
        <x:v>1</x:v>
      </x:c>
      <x:c r="F22" s="10" t="n">
        <x:f>C22-E22+D22</x:f>
        <x:v>33</x:v>
      </x:c>
      <x:c r="G22" s="11" t="n">
        <x:f>POWER(2,F22)</x:f>
        <x:v>8589934592</x:v>
      </x:c>
      <x:c r="H22" s="11" t="n">
        <x:f>G22/$L$3/3600</x:f>
        <x:v>147.65801250045465</x:v>
      </x:c>
      <x:c r="I22" s="9" t="str">
        <x:f>IF(F22&gt;=$L$2,"High","Low")</x:f>
        <x:v>High</x:v>
      </x:c>
    </x:row>
    <x:row r="23">
      <x:c r="A23" s="9" t="str">
        <x:v>1250</x:v>
      </x:c>
      <x:c r="B23" s="12" t="str">
        <x:v>O=C(OC1C[C@H]2CC[C@@H](C1)[N+]21CCCC1)C(O)(c1ccccc1)c1ccccc1</x:v>
      </x:c>
      <x:c r="C23" s="10" t="n">
        <x:v>29</x:v>
      </x:c>
      <x:c r="D23" s="10" t="n">
        <x:v>5</x:v>
      </x:c>
      <x:c r="E23" s="10" t="n">
        <x:v>1</x:v>
      </x:c>
      <x:c r="F23" s="10" t="n">
        <x:f>C23-E23+D23</x:f>
        <x:v>33</x:v>
      </x:c>
      <x:c r="G23" s="11" t="n">
        <x:f>POWER(2,F23)</x:f>
        <x:v>8589934592</x:v>
      </x:c>
      <x:c r="H23" s="11" t="n">
        <x:f>G23/$L$3/3600</x:f>
        <x:v>147.65801250045465</x:v>
      </x:c>
      <x:c r="I23" s="9" t="str">
        <x:f>IF(F23&gt;=$L$2,"High","Low")</x:f>
        <x:v>High</x:v>
      </x:c>
    </x:row>
    <x:row r="24">
      <x:c r="A24" s="9" t="str">
        <x:v>1167</x:v>
      </x:c>
      <x:c r="B24" s="12" t="str">
        <x:v>CCN(CC)CCOc1ccc(C(=C(Cl)c2ccccc2)c2ccccc2)cc1</x:v>
      </x:c>
      <x:c r="C24" s="10" t="n">
        <x:v>29</x:v>
      </x:c>
      <x:c r="D24" s="10" t="n">
        <x:v>3</x:v>
      </x:c>
      <x:c r="E24" s="10" t="n">
        <x:v>1</x:v>
      </x:c>
      <x:c r="F24" s="10" t="n">
        <x:f>C24-E24+D24</x:f>
        <x:v>31</x:v>
      </x:c>
      <x:c r="G24" s="11" t="n">
        <x:f>POWER(2,F24)</x:f>
        <x:v>2147483648</x:v>
      </x:c>
      <x:c r="H24" s="11" t="n">
        <x:f>G24/$L$3/3600</x:f>
        <x:v>36.91450312511366</x:v>
      </x:c>
      <x:c r="I24" s="9" t="str">
        <x:f>IF(F24&gt;=$L$2,"High","Low")</x:f>
        <x:v>High</x:v>
      </x:c>
    </x:row>
    <x:row r="25">
      <x:c r="A25" s="9" t="str">
        <x:v>1179</x:v>
      </x:c>
      <x:c r="B25" s="12" t="str">
        <x:v>COc1cc2c(cc1OC)C(=O)C(CC1CCN(Cc3ccccc3)CC1)C2</x:v>
      </x:c>
      <x:c r="C25" s="10" t="n">
        <x:v>28</x:v>
      </x:c>
      <x:c r="D25" s="10" t="n">
        <x:v>4</x:v>
      </x:c>
      <x:c r="E25" s="10" t="n">
        <x:v>1</x:v>
      </x:c>
      <x:c r="F25" s="10" t="n">
        <x:f>C25-E25+D25</x:f>
        <x:v>31</x:v>
      </x:c>
      <x:c r="G25" s="11" t="n">
        <x:f>POWER(2,F25)</x:f>
        <x:v>2147483648</x:v>
      </x:c>
      <x:c r="H25" s="11" t="n">
        <x:f>G25/$L$3/3600</x:f>
        <x:v>36.91450312511366</x:v>
      </x:c>
      <x:c r="I25" s="9" t="str">
        <x:f>IF(F25&gt;=$L$2,"High","Low")</x:f>
        <x:v>High</x:v>
      </x:c>
    </x:row>
    <x:row r="26">
      <x:c r="A26" s="9" t="str">
        <x:v>1206</x:v>
      </x:c>
      <x:c r="B26" s="12" t="str">
        <x:v>C[N+]1(CC2CC2)CC[C@]23c4c5ccc(O)c4O[C@H]2C(=O)CC[C@@]3(O)[C@H]1C5</x:v>
      </x:c>
      <x:c r="C26" s="10" t="n">
        <x:v>26</x:v>
      </x:c>
      <x:c r="D26" s="10" t="n">
        <x:v>6</x:v>
      </x:c>
      <x:c r="E26" s="10" t="n">
        <x:v>1</x:v>
      </x:c>
      <x:c r="F26" s="10" t="n">
        <x:f>C26-E26+D26</x:f>
        <x:v>31</x:v>
      </x:c>
      <x:c r="G26" s="11" t="n">
        <x:f>POWER(2,F26)</x:f>
        <x:v>2147483648</x:v>
      </x:c>
      <x:c r="H26" s="11" t="n">
        <x:f>G26/$L$3/3600</x:f>
        <x:v>36.91450312511366</x:v>
      </x:c>
      <x:c r="I26" s="9" t="str">
        <x:f>IF(F26&gt;=$L$2,"High","Low")</x:f>
        <x:v>High</x:v>
      </x:c>
    </x:row>
    <x:row r="27">
      <x:c r="A27" s="9" t="str">
        <x:v>1211</x:v>
      </x:c>
      <x:c r="B27" s="12" t="str">
        <x:v>Oc1ccc2c3c1O[C@H]1[C@@H](O)CC[C@@]4(O)[C@@H](C2)N(CC2CCC2)CC[C@]314</x:v>
      </x:c>
      <x:c r="C27" s="10" t="n">
        <x:v>26</x:v>
      </x:c>
      <x:c r="D27" s="10" t="n">
        <x:v>6</x:v>
      </x:c>
      <x:c r="E27" s="10" t="n">
        <x:v>1</x:v>
      </x:c>
      <x:c r="F27" s="10" t="n">
        <x:f>C27-E27+D27</x:f>
        <x:v>31</x:v>
      </x:c>
      <x:c r="G27" s="11" t="n">
        <x:f>POWER(2,F27)</x:f>
        <x:v>2147483648</x:v>
      </x:c>
      <x:c r="H27" s="11" t="n">
        <x:f>G27/$L$3/3600</x:f>
        <x:v>36.91450312511366</x:v>
      </x:c>
      <x:c r="I27" s="9" t="str">
        <x:f>IF(F27&gt;=$L$2,"High","Low")</x:f>
        <x:v>High</x:v>
      </x:c>
    </x:row>
    <x:row r="28">
      <x:c r="A28" s="9" t="str">
        <x:v>1229</x:v>
      </x:c>
      <x:c r="B28" s="12" t="str">
        <x:v>COc1cc2nc(N3CCN(C(=O)c4ccco4)CC3)nc(N)c2cc1OC</x:v>
      </x:c>
      <x:c r="C28" s="10" t="n">
        <x:v>28</x:v>
      </x:c>
      <x:c r="D28" s="10" t="n">
        <x:v>4</x:v>
      </x:c>
      <x:c r="E28" s="10" t="n">
        <x:v>1</x:v>
      </x:c>
      <x:c r="F28" s="10" t="n">
        <x:f>C28-E28+D28</x:f>
        <x:v>31</x:v>
      </x:c>
      <x:c r="G28" s="11" t="n">
        <x:f>POWER(2,F28)</x:f>
        <x:v>2147483648</x:v>
      </x:c>
      <x:c r="H28" s="11" t="n">
        <x:f>G28/$L$3/3600</x:f>
        <x:v>36.91450312511366</x:v>
      </x:c>
      <x:c r="I28" s="9" t="str">
        <x:f>IF(F28&gt;=$L$2,"High","Low")</x:f>
        <x:v>High</x:v>
      </x:c>
    </x:row>
    <x:row r="29">
      <x:c r="A29" s="9" t="str">
        <x:v>1153</x:v>
      </x:c>
      <x:c r="B29" s="12" t="str">
        <x:v>CN1CCCC(n2nc(Cc3ccc(Cl)cc3)c3ccccc3c2=O)CC1</x:v>
      </x:c>
      <x:c r="C29" s="10" t="n">
        <x:v>27</x:v>
      </x:c>
      <x:c r="D29" s="10" t="n">
        <x:v>4</x:v>
      </x:c>
      <x:c r="E29" s="10" t="n">
        <x:v>1</x:v>
      </x:c>
      <x:c r="F29" s="10" t="n">
        <x:f>C29-E29+D29</x:f>
        <x:v>30</x:v>
      </x:c>
      <x:c r="G29" s="11" t="n">
        <x:f>POWER(2,F29)</x:f>
        <x:v>1073741824</x:v>
      </x:c>
      <x:c r="H29" s="11" t="n">
        <x:f>G29/$L$3/3600</x:f>
        <x:v>18.45725156255683</x:v>
      </x:c>
      <x:c r="I29" s="9" t="str">
        <x:f>IF(F29&gt;=$L$2,"High","Low")</x:f>
        <x:v>High</x:v>
      </x:c>
    </x:row>
    <x:row r="30">
      <x:c r="A30" s="9" t="str">
        <x:v>1234</x:v>
      </x:c>
      <x:c r="B30" s="12" t="str">
        <x:v>OCCOCCN1CCN(C2=Nc3ccccc3Sc3ccccc32)CC1</x:v>
      </x:c>
      <x:c r="C30" s="10" t="n">
        <x:v>27</x:v>
      </x:c>
      <x:c r="D30" s="10" t="n">
        <x:v>4</x:v>
      </x:c>
      <x:c r="E30" s="10" t="n">
        <x:v>1</x:v>
      </x:c>
      <x:c r="F30" s="10" t="n">
        <x:f>C30-E30+D30</x:f>
        <x:v>30</x:v>
      </x:c>
      <x:c r="G30" s="11" t="n">
        <x:f>POWER(2,F30)</x:f>
        <x:v>1073741824</x:v>
      </x:c>
      <x:c r="H30" s="11" t="n">
        <x:f>G30/$L$3/3600</x:f>
        <x:v>18.45725156255683</x:v>
      </x:c>
      <x:c r="I30" s="9" t="str">
        <x:f>IF(F30&gt;=$L$2,"High","Low")</x:f>
        <x:v>High</x:v>
      </x:c>
    </x:row>
    <x:row r="31">
      <x:c r="A31" s="9" t="str">
        <x:v>1244</x:v>
      </x:c>
      <x:c r="B31" s="12" t="str">
        <x:v>CC/C(=C(\c1ccccc1)c1ccc(OCCN(C)C)cc1)c1ccccc1</x:v>
      </x:c>
      <x:c r="C31" s="10" t="n">
        <x:v>28</x:v>
      </x:c>
      <x:c r="D31" s="10" t="n">
        <x:v>3</x:v>
      </x:c>
      <x:c r="E31" s="10" t="n">
        <x:v>1</x:v>
      </x:c>
      <x:c r="F31" s="10" t="n">
        <x:f>C31-E31+D31</x:f>
        <x:v>30</x:v>
      </x:c>
      <x:c r="G31" s="11" t="n">
        <x:f>POWER(2,F31)</x:f>
        <x:v>1073741824</x:v>
      </x:c>
      <x:c r="H31" s="11" t="n">
        <x:f>G31/$L$3/3600</x:f>
        <x:v>18.45725156255683</x:v>
      </x:c>
      <x:c r="I31" s="9" t="str">
        <x:f>IF(F31&gt;=$L$2,"High","Low")</x:f>
        <x:v>High</x:v>
      </x:c>
    </x:row>
  </x:sheetData>
  <x:conditionalFormatting sqref="I2:I31">
    <x:cfRule type="containsText" dxfId="0" priority="1" operator="containsText" text="High"/>
    <x:cfRule type="containsText" dxfId="1" priority="2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64943482814476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20" hidden="0" customWidth="1"/>
    <x:col min="9" max="9" width="12" hidden="0" customWidth="1"/>
    <x:col min="11" max="11" width="22" hidden="0" customWidth="1"/>
    <x:col min="12" max="12" width="58" hidden="0" customWidth="1"/>
  </x:cols>
  <x:sheetData>
    <x:row r="1" ht="32" customHeight="1">
      <x:c r="A1" s="16" t="str">
        <x:v>molecule_id</x:v>
      </x:c>
      <x:c r="B1" s="16" t="str">
        <x:v>smiles</x:v>
      </x:c>
      <x:c r="C1" s="16" t="str">
        <x:v>heavy_atom_count</x:v>
      </x:c>
      <x:c r="D1" s="16" t="str">
        <x:v>ring_bond_count</x:v>
      </x:c>
      <x:c r="E1" s="16" t="str">
        <x:v>component_count</x:v>
      </x:c>
      <x:c r="F1" s="16" t="str">
        <x:v>estimated_bond_count</x:v>
      </x:c>
      <x:c r="G1" s="16" t="str">
        <x:v>theoretical_bond_subsets</x:v>
      </x:c>
      <x:c r="H1" s="16" t="str">
        <x:v>estimated_hours</x:v>
      </x:c>
      <x:c r="I1" s="16" t="str">
        <x:v>runtime_group</x:v>
      </x:c>
      <x:c r="K1" s="6" t="str">
        <x:v>Parameter</x:v>
      </x:c>
      <x:c r="L1" s="6" t="str">
        <x:v>Value</x:v>
      </x:c>
    </x:row>
    <x:row r="2">
      <x:c r="A2" s="9" t="str">
        <x:v>1189</x:v>
      </x:c>
      <x:c r="B2" s="12" t="str">
        <x:v>CCN(CC)CCN1C(=O)CN=C(c2ccccc2F)c2cc(Cl)ccc21</x:v>
      </x:c>
      <x:c r="C2" s="10" t="n">
        <x:v>27</x:v>
      </x:c>
      <x:c r="D2" s="10" t="n">
        <x:v>3</x:v>
      </x:c>
      <x:c r="E2" s="10" t="n">
        <x:v>1</x:v>
      </x:c>
      <x:c r="F2" s="10" t="n">
        <x:f>C2-E2+D2</x:f>
        <x:v>29</x:v>
      </x:c>
      <x:c r="G2" s="11" t="n">
        <x:f>POWER(2,F2)</x:f>
        <x:v>536870912</x:v>
      </x:c>
      <x:c r="H2" s="11" t="n">
        <x:f>G2/$L$3/3600</x:f>
        <x:v>9.228625781278415</x:v>
      </x:c>
      <x:c r="I2" s="9" t="str">
        <x:f>IF(F2&gt;=$L$2,"High","Low")</x:f>
        <x:v>Low</x:v>
      </x:c>
      <x:c r="K2" t="str">
        <x:v>High-runtime bond threshold</x:v>
      </x:c>
      <x:c r="L2" t="n">
        <x:v>30</x:v>
      </x:c>
    </x:row>
    <x:row r="3">
      <x:c r="A3" s="9" t="str">
        <x:v>1213</x:v>
      </x:c>
      <x:c r="B3" s="12" t="str">
        <x:v>CCCc1c2oc(C(=O)O)cc(=O)c2cc2c(=O)cc(C(=O)O)n(CC)c12</x:v>
      </x:c>
      <x:c r="C3" s="10" t="n">
        <x:v>27</x:v>
      </x:c>
      <x:c r="D3" s="10" t="n">
        <x:v>3</x:v>
      </x:c>
      <x:c r="E3" s="10" t="n">
        <x:v>1</x:v>
      </x:c>
      <x:c r="F3" s="10" t="n">
        <x:f>C3-E3+D3</x:f>
        <x:v>29</x:v>
      </x:c>
      <x:c r="G3" s="11" t="n">
        <x:f>POWER(2,F3)</x:f>
        <x:v>536870912</x:v>
      </x:c>
      <x:c r="H3" s="11" t="n">
        <x:f>G3/$L$3/3600</x:f>
        <x:v>9.228625781278415</x:v>
      </x:c>
      <x:c r="I3" s="9" t="str">
        <x:f>IF(F3&gt;=$L$2,"High","Low")</x:f>
        <x:v>Low</x:v>
      </x:c>
      <x:c r="K3" t="str">
        <x:v>Processing rate (fragments/sec)</x:v>
      </x:c>
      <x:c r="L3" t="n">
        <x:v>16159.59</x:v>
      </x:c>
    </x:row>
    <x:row r="4">
      <x:c r="A4" s="9" t="str">
        <x:v>1245</x:v>
      </x:c>
      <x:c r="B4" s="12" t="str">
        <x:v>CCOc1ccccc1OCCN[C@H](C)Cc1ccc(OC)c(S(N)(=O)=O)c1</x:v>
      </x:c>
      <x:c r="C4" s="10" t="n">
        <x:v>28</x:v>
      </x:c>
      <x:c r="D4" s="10" t="n">
        <x:v>2</x:v>
      </x:c>
      <x:c r="E4" s="10" t="n">
        <x:v>1</x:v>
      </x:c>
      <x:c r="F4" s="10" t="n">
        <x:f>C4-E4+D4</x:f>
        <x:v>29</x:v>
      </x:c>
      <x:c r="G4" s="11" t="n">
        <x:f>POWER(2,F4)</x:f>
        <x:v>536870912</x:v>
      </x:c>
      <x:c r="H4" s="11" t="n">
        <x:f>G4/$L$3/3600</x:f>
        <x:v>9.228625781278415</x:v>
      </x:c>
      <x:c r="I4" s="9" t="str">
        <x:f>IF(F4&gt;=$L$2,"High","Low")</x:f>
        <x:v>Low</x:v>
      </x:c>
      <x:c r="K4" t="str">
        <x:v>Rows in this sheet</x:v>
      </x:c>
      <x:c r="L4" t="n">
        <x:v>81</x:v>
      </x:c>
    </x:row>
    <x:row r="5">
      <x:c r="A5" s="9" t="str">
        <x:v>1183</x:v>
      </x:c>
      <x:c r="B5" s="12" t="str">
        <x:v>CCOC(=O)[C@H](CCc1ccccc1)N[C@@H](C)C(=O)N1CCC[C@H]1C(=O)O</x:v>
      </x:c>
      <x:c r="C5" s="10" t="n">
        <x:v>27</x:v>
      </x:c>
      <x:c r="D5" s="10" t="n">
        <x:v>2</x:v>
      </x:c>
      <x:c r="E5" s="10" t="n">
        <x:v>1</x:v>
      </x:c>
      <x:c r="F5" s="10" t="n">
        <x:f>C5-E5+D5</x:f>
        <x:v>28</x:v>
      </x:c>
      <x:c r="G5" s="11" t="n">
        <x:f>POWER(2,F5)</x:f>
        <x:v>268435456</x:v>
      </x:c>
      <x:c r="H5" s="11" t="n">
        <x:f>G5/$L$3/3600</x:f>
        <x:v>4.614312890639208</x:v>
      </x:c>
      <x:c r="I5" s="9" t="str">
        <x:f>IF(F5&gt;=$L$2,"High","Low")</x:f>
        <x:v>Low</x:v>
      </x:c>
    </x:row>
    <x:row r="6">
      <x:c r="A6" s="9" t="str">
        <x:v>1205</x:v>
      </x:c>
      <x:c r="B6" s="12" t="str">
        <x:v>CC[C@@H](CO)NC(=O)[C@@H]1C=C2c3cccc4[nH]cc(c34)C[C@H]2N(C)C1</x:v>
      </x:c>
      <x:c r="C6" s="10" t="n">
        <x:v>25</x:v>
      </x:c>
      <x:c r="D6" s="10" t="n">
        <x:v>4</x:v>
      </x:c>
      <x:c r="E6" s="10" t="n">
        <x:v>1</x:v>
      </x:c>
      <x:c r="F6" s="10" t="n">
        <x:f>C6-E6+D6</x:f>
        <x:v>28</x:v>
      </x:c>
      <x:c r="G6" s="11" t="n">
        <x:f>POWER(2,F6)</x:f>
        <x:v>268435456</x:v>
      </x:c>
      <x:c r="H6" s="11" t="n">
        <x:f>G6/$L$3/3600</x:f>
        <x:v>4.614312890639208</x:v>
      </x:c>
      <x:c r="I6" s="9" t="str">
        <x:f>IF(F6&gt;=$L$2,"High","Low")</x:f>
        <x:v>Low</x:v>
      </x:c>
      <x:c r="K6" s="8" t="str">
        <x:v>Notes</x:v>
      </x:c>
      <x:c r="L6" s="8"/>
    </x:row>
    <x:row r="7">
      <x:c r="A7" s="9" t="str">
        <x:v>1212</x:v>
      </x:c>
      <x:c r="B7" s="12" t="str">
        <x:v>C=CCN1CC[C@]23c4c5ccc(O)c4O[C@H]2C(=O)CC[C@@]3(O)[C@H]1C5</x:v>
      </x:c>
      <x:c r="C7" s="10" t="n">
        <x:v>24</x:v>
      </x:c>
      <x:c r="D7" s="10" t="n">
        <x:v>5</x:v>
      </x:c>
      <x:c r="E7" s="10" t="n">
        <x:v>1</x:v>
      </x:c>
      <x:c r="F7" s="10" t="n">
        <x:f>C7-E7+D7</x:f>
        <x:v>28</x:v>
      </x:c>
      <x:c r="G7" s="11" t="n">
        <x:f>POWER(2,F7)</x:f>
        <x:v>268435456</x:v>
      </x:c>
      <x:c r="H7" s="11" t="n">
        <x:f>G7/$L$3/3600</x:f>
        <x:v>4.614312890639208</x:v>
      </x:c>
      <x:c r="I7" s="9" t="str">
        <x:f>IF(F7&gt;=$L$2,"High","Low")</x:f>
        <x:v>Low</x:v>
      </x:c>
      <x:c r="K7" t="str">
        <x:v>Group rule</x:v>
      </x:c>
      <x:c r="L7" t="str">
        <x:v>estimated bonds &lt; 30</x:v>
      </x:c>
    </x:row>
    <x:row r="8">
      <x:c r="A8" s="9" t="str">
        <x:v>1221</x:v>
      </x:c>
      <x:c r="B8" s="12" t="str">
        <x:v>COc1ccnc(CS(=O)c2nc3ccc(OC(F)F)cc3[nH]2)c1OC</x:v>
      </x:c>
      <x:c r="C8" s="10" t="n">
        <x:v>26</x:v>
      </x:c>
      <x:c r="D8" s="10" t="n">
        <x:v>3</x:v>
      </x:c>
      <x:c r="E8" s="10" t="n">
        <x:v>1</x:v>
      </x:c>
      <x:c r="F8" s="10" t="n">
        <x:f>C8-E8+D8</x:f>
        <x:v>28</x:v>
      </x:c>
      <x:c r="G8" s="11" t="n">
        <x:f>POWER(2,F8)</x:f>
        <x:v>268435456</x:v>
      </x:c>
      <x:c r="H8" s="11" t="n">
        <x:f>G8/$L$3/3600</x:f>
        <x:v>4.614312890639208</x:v>
      </x:c>
      <x:c r="I8" s="9" t="str">
        <x:f>IF(F8&gt;=$L$2,"High","Low")</x:f>
        <x:v>Low</x:v>
      </x:c>
      <x:c r="K8" t="str">
        <x:v>Method</x:v>
      </x:c>
      <x:c r="L8" s="12" t="str">
        <x:v>bonds = heavy atoms - components + ring bonds; time uses the 2^bonds upper bound</x:v>
      </x:c>
    </x:row>
    <x:row r="9">
      <x:c r="A9" s="9" t="str">
        <x:v>1154</x:v>
      </x:c>
      <x:c r="B9" s="12" t="str">
        <x:v>O=C(O)CCNC(=O)c1ccc(N=Nc2ccc(O)c(C(=O)O)c2)cc1</x:v>
      </x:c>
      <x:c r="C9" s="10" t="n">
        <x:v>26</x:v>
      </x:c>
      <x:c r="D9" s="10" t="n">
        <x:v>2</x:v>
      </x:c>
      <x:c r="E9" s="10" t="n">
        <x:v>1</x:v>
      </x:c>
      <x:c r="F9" s="10" t="n">
        <x:f>C9-E9+D9</x:f>
        <x:v>27</x:v>
      </x:c>
      <x:c r="G9" s="11" t="n">
        <x:f>POWER(2,F9)</x:f>
        <x:v>134217728</x:v>
      </x:c>
      <x:c r="H9" s="11" t="n">
        <x:f>G9/$L$3/3600</x:f>
        <x:v>2.307156445319604</x:v>
      </x:c>
      <x:c r="I9" s="9" t="str">
        <x:f>IF(F9&gt;=$L$2,"High","Low")</x:f>
        <x:v>Low</x:v>
      </x:c>
    </x:row>
    <x:row r="10">
      <x:c r="A10" s="9" t="str">
        <x:v>1162</x:v>
      </x:c>
      <x:c r="B10" s="12" t="str">
        <x:v>Clc1ccc(CCC(Cn2ccnc2)Sc2c(Cl)cccc2Cl)cc1</x:v>
      </x:c>
      <x:c r="C10" s="10" t="n">
        <x:v>25</x:v>
      </x:c>
      <x:c r="D10" s="10" t="n">
        <x:v>3</x:v>
      </x:c>
      <x:c r="E10" s="10" t="n">
        <x:v>1</x:v>
      </x:c>
      <x:c r="F10" s="10" t="n">
        <x:f>C10-E10+D10</x:f>
        <x:v>27</x:v>
      </x:c>
      <x:c r="G10" s="11" t="n">
        <x:f>POWER(2,F10)</x:f>
        <x:v>134217728</x:v>
      </x:c>
      <x:c r="H10" s="11" t="n">
        <x:f>G10/$L$3/3600</x:f>
        <x:v>2.307156445319604</x:v>
      </x:c>
      <x:c r="I10" s="9" t="str">
        <x:f>IF(F10&gt;=$L$2,"High","Low")</x:f>
        <x:v>Low</x:v>
      </x:c>
    </x:row>
    <x:row r="11">
      <x:c r="A11" s="9" t="str">
        <x:v>1203</x:v>
      </x:c>
      <x:c r="B11" s="12" t="str">
        <x:v>C[N+]1(C)CCCC(OC(=O)C(O)(c2ccccc2)c2ccccc2)C1</x:v>
      </x:c>
      <x:c r="C11" s="10" t="n">
        <x:v>25</x:v>
      </x:c>
      <x:c r="D11" s="10" t="n">
        <x:v>3</x:v>
      </x:c>
      <x:c r="E11" s="10" t="n">
        <x:v>1</x:v>
      </x:c>
      <x:c r="F11" s="10" t="n">
        <x:f>C11-E11+D11</x:f>
        <x:v>27</x:v>
      </x:c>
      <x:c r="G11" s="11" t="n">
        <x:f>POWER(2,F11)</x:f>
        <x:v>134217728</x:v>
      </x:c>
      <x:c r="H11" s="11" t="n">
        <x:f>G11/$L$3/3600</x:f>
        <x:v>2.307156445319604</x:v>
      </x:c>
      <x:c r="I11" s="9" t="str">
        <x:f>IF(F11&gt;=$L$2,"High","Low")</x:f>
        <x:v>Low</x:v>
      </x:c>
    </x:row>
    <x:row r="12">
      <x:c r="A12" s="9" t="str">
        <x:v>1209</x:v>
      </x:c>
      <x:c r="B12" s="12" t="str">
        <x:v>Clc1ccc(COC(Cn2ccnc2)c2ccc(Cl)cc2Cl)c(Cl)c1</x:v>
      </x:c>
      <x:c r="C12" s="10" t="n">
        <x:v>25</x:v>
      </x:c>
      <x:c r="D12" s="10" t="n">
        <x:v>3</x:v>
      </x:c>
      <x:c r="E12" s="10" t="n">
        <x:v>1</x:v>
      </x:c>
      <x:c r="F12" s="10" t="n">
        <x:f>C12-E12+D12</x:f>
        <x:v>27</x:v>
      </x:c>
      <x:c r="G12" s="11" t="n">
        <x:f>POWER(2,F12)</x:f>
        <x:v>134217728</x:v>
      </x:c>
      <x:c r="H12" s="11" t="n">
        <x:f>G12/$L$3/3600</x:f>
        <x:v>2.307156445319604</x:v>
      </x:c>
      <x:c r="I12" s="9" t="str">
        <x:f>IF(F12&gt;=$L$2,"High","Low")</x:f>
        <x:v>Low</x:v>
      </x:c>
    </x:row>
    <x:row r="13">
      <x:c r="A13" s="9" t="str">
        <x:v>1216</x:v>
      </x:c>
      <x:c r="B13" s="12" t="str">
        <x:v>CCN(CC)CC#CCOC(=O)C(O)(c1ccccc1)C1CCCCC1</x:v>
      </x:c>
      <x:c r="C13" s="10" t="n">
        <x:v>26</x:v>
      </x:c>
      <x:c r="D13" s="10" t="n">
        <x:v>2</x:v>
      </x:c>
      <x:c r="E13" s="10" t="n">
        <x:v>1</x:v>
      </x:c>
      <x:c r="F13" s="10" t="n">
        <x:f>C13-E13+D13</x:f>
        <x:v>27</x:v>
      </x:c>
      <x:c r="G13" s="11" t="n">
        <x:f>POWER(2,F13)</x:f>
        <x:v>134217728</x:v>
      </x:c>
      <x:c r="H13" s="11" t="n">
        <x:f>G13/$L$3/3600</x:f>
        <x:v>2.307156445319604</x:v>
      </x:c>
      <x:c r="I13" s="9" t="str">
        <x:f>IF(F13&gt;=$L$2,"High","Low")</x:f>
        <x:v>Low</x:v>
      </x:c>
    </x:row>
    <x:row r="14">
      <x:c r="A14" s="9" t="str">
        <x:v>1217</x:v>
      </x:c>
      <x:c r="B14" s="12" t="str">
        <x:v>COc1ccc2c3c1O[C@H]1C(=O)CC[C@@]4(O)[C@@H](C2)N(C)CC[C@]314</x:v>
      </x:c>
      <x:c r="C14" s="10" t="n">
        <x:v>23</x:v>
      </x:c>
      <x:c r="D14" s="10" t="n">
        <x:v>5</x:v>
      </x:c>
      <x:c r="E14" s="10" t="n">
        <x:v>1</x:v>
      </x:c>
      <x:c r="F14" s="10" t="n">
        <x:f>C14-E14+D14</x:f>
        <x:v>27</x:v>
      </x:c>
      <x:c r="G14" s="11" t="n">
        <x:f>POWER(2,F14)</x:f>
        <x:v>134217728</x:v>
      </x:c>
      <x:c r="H14" s="11" t="n">
        <x:f>G14/$L$3/3600</x:f>
        <x:v>2.307156445319604</x:v>
      </x:c>
      <x:c r="I14" s="9" t="str">
        <x:f>IF(F14&gt;=$L$2,"High","Low")</x:f>
        <x:v>Low</x:v>
      </x:c>
    </x:row>
    <x:row r="15">
      <x:c r="A15" s="9" t="str">
        <x:v>1235</x:v>
      </x:c>
      <x:c r="B15" s="12" t="str">
        <x:v>C=C[C@H]1CN2CC[C@H]1C[C@H]2[C@H](O)c1ccnc2ccc(OC)cc12</x:v>
      </x:c>
      <x:c r="C15" s="10" t="n">
        <x:v>24</x:v>
      </x:c>
      <x:c r="D15" s="10" t="n">
        <x:v>4</x:v>
      </x:c>
      <x:c r="E15" s="10" t="n">
        <x:v>1</x:v>
      </x:c>
      <x:c r="F15" s="10" t="n">
        <x:f>C15-E15+D15</x:f>
        <x:v>27</x:v>
      </x:c>
      <x:c r="G15" s="11" t="n">
        <x:f>POWER(2,F15)</x:f>
        <x:v>134217728</x:v>
      </x:c>
      <x:c r="H15" s="11" t="n">
        <x:f>G15/$L$3/3600</x:f>
        <x:v>2.307156445319604</x:v>
      </x:c>
      <x:c r="I15" s="9" t="str">
        <x:f>IF(F15&gt;=$L$2,"High","Low")</x:f>
        <x:v>Low</x:v>
      </x:c>
    </x:row>
    <x:row r="16">
      <x:c r="A16" s="9" t="str">
        <x:v>1236</x:v>
      </x:c>
      <x:c r="B16" s="12" t="str">
        <x:v>COCCCOc1ccnc(CS(=O)c2nc3ccccc3[nH]2)c1C</x:v>
      </x:c>
      <x:c r="C16" s="10" t="n">
        <x:v>25</x:v>
      </x:c>
      <x:c r="D16" s="10" t="n">
        <x:v>3</x:v>
      </x:c>
      <x:c r="E16" s="10" t="n">
        <x:v>1</x:v>
      </x:c>
      <x:c r="F16" s="10" t="n">
        <x:f>C16-E16+D16</x:f>
        <x:v>27</x:v>
      </x:c>
      <x:c r="G16" s="11" t="n">
        <x:f>POWER(2,F16)</x:f>
        <x:v>134217728</x:v>
      </x:c>
      <x:c r="H16" s="11" t="n">
        <x:f>G16/$L$3/3600</x:f>
        <x:v>2.307156445319604</x:v>
      </x:c>
      <x:c r="I16" s="9" t="str">
        <x:f>IF(F16&gt;=$L$2,"High","Low")</x:f>
        <x:v>Low</x:v>
      </x:c>
    </x:row>
    <x:row r="17">
      <x:c r="A17" s="9" t="str">
        <x:v>1157</x:v>
      </x:c>
      <x:c r="B17" s="12" t="str">
        <x:v>CN1[C@@H]2CC[C@H]1CC(OC(c1ccccc1)c1ccccc1)C2</x:v>
      </x:c>
      <x:c r="C17" s="10" t="n">
        <x:v>23</x:v>
      </x:c>
      <x:c r="D17" s="10" t="n">
        <x:v>4</x:v>
      </x:c>
      <x:c r="E17" s="10" t="n">
        <x:v>1</x:v>
      </x:c>
      <x:c r="F17" s="10" t="n">
        <x:f>C17-E17+D17</x:f>
        <x:v>26</x:v>
      </x:c>
      <x:c r="G17" s="11" t="n">
        <x:f>POWER(2,F17)</x:f>
        <x:v>67108864</x:v>
      </x:c>
      <x:c r="H17" s="11" t="n">
        <x:f>G17/$L$3/3600</x:f>
        <x:v>1.153578222659802</x:v>
      </x:c>
      <x:c r="I17" s="9" t="str">
        <x:f>IF(F17&gt;=$L$2,"High","Low")</x:f>
        <x:v>Low</x:v>
      </x:c>
    </x:row>
    <x:row r="18">
      <x:c r="A18" s="9" t="str">
        <x:v>1192</x:v>
      </x:c>
      <x:c r="B18" s="12" t="str">
        <x:v>COc1ccc(CC(C)NCC(O)c2ccc(O)c(NC=O)c2)cc1</x:v>
      </x:c>
      <x:c r="C18" s="10" t="n">
        <x:v>25</x:v>
      </x:c>
      <x:c r="D18" s="10" t="n">
        <x:v>2</x:v>
      </x:c>
      <x:c r="E18" s="10" t="n">
        <x:v>1</x:v>
      </x:c>
      <x:c r="F18" s="10" t="n">
        <x:f>C18-E18+D18</x:f>
        <x:v>26</x:v>
      </x:c>
      <x:c r="G18" s="11" t="n">
        <x:f>POWER(2,F18)</x:f>
        <x:v>67108864</x:v>
      </x:c>
      <x:c r="H18" s="11" t="n">
        <x:f>G18/$L$3/3600</x:f>
        <x:v>1.153578222659802</x:v>
      </x:c>
      <x:c r="I18" s="9" t="str">
        <x:f>IF(F18&gt;=$L$2,"High","Low")</x:f>
        <x:v>Low</x:v>
      </x:c>
    </x:row>
    <x:row r="19">
      <x:c r="A19" s="9" t="str">
        <x:v>1194</x:v>
      </x:c>
      <x:c r="B19" s="12" t="str">
        <x:v>COc1ccc2c3c1O[C@H]1C(=O)CC[C@H]4[C@@H](C2)N(C)CC[C@]314</x:v>
      </x:c>
      <x:c r="C19" s="10" t="n">
        <x:v>22</x:v>
      </x:c>
      <x:c r="D19" s="10" t="n">
        <x:v>5</x:v>
      </x:c>
      <x:c r="E19" s="10" t="n">
        <x:v>1</x:v>
      </x:c>
      <x:c r="F19" s="10" t="n">
        <x:f>C19-E19+D19</x:f>
        <x:v>26</x:v>
      </x:c>
      <x:c r="G19" s="11" t="n">
        <x:f>POWER(2,F19)</x:f>
        <x:v>67108864</x:v>
      </x:c>
      <x:c r="H19" s="11" t="n">
        <x:f>G19/$L$3/3600</x:f>
        <x:v>1.153578222659802</x:v>
      </x:c>
      <x:c r="I19" s="9" t="str">
        <x:f>IF(F19&gt;=$L$2,"High","Low")</x:f>
        <x:v>Low</x:v>
      </x:c>
    </x:row>
    <x:row r="20">
      <x:c r="A20" s="9" t="str">
        <x:v>1196</x:v>
      </x:c>
      <x:c r="B20" s="12" t="str">
        <x:v>CCCCCCCN(CC)CCCC(O)c1ccc(NS(C)(=O)=O)cc1</x:v>
      </x:c>
      <x:c r="C20" s="10" t="n">
        <x:v>26</x:v>
      </x:c>
      <x:c r="D20" s="10" t="n">
        <x:v>1</x:v>
      </x:c>
      <x:c r="E20" s="10" t="n">
        <x:v>1</x:v>
      </x:c>
      <x:c r="F20" s="10" t="n">
        <x:f>C20-E20+D20</x:f>
        <x:v>26</x:v>
      </x:c>
      <x:c r="G20" s="11" t="n">
        <x:f>POWER(2,F20)</x:f>
        <x:v>67108864</x:v>
      </x:c>
      <x:c r="H20" s="11" t="n">
        <x:f>G20/$L$3/3600</x:f>
        <x:v>1.153578222659802</x:v>
      </x:c>
      <x:c r="I20" s="9" t="str">
        <x:f>IF(F20&gt;=$L$2,"High","Low")</x:f>
        <x:v>Low</x:v>
      </x:c>
    </x:row>
    <x:row r="21">
      <x:c r="A21" s="9" t="str">
        <x:v>1197</x:v>
      </x:c>
      <x:c r="B21" s="12" t="str">
        <x:v>CC(C)[N+]1(C)[C@@H]2CC[C@H]1CC(OC(=O)C(CO)c1ccccc1)C2</x:v>
      </x:c>
      <x:c r="C21" s="10" t="n">
        <x:v>24</x:v>
      </x:c>
      <x:c r="D21" s="10" t="n">
        <x:v>3</x:v>
      </x:c>
      <x:c r="E21" s="10" t="n">
        <x:v>1</x:v>
      </x:c>
      <x:c r="F21" s="10" t="n">
        <x:f>C21-E21+D21</x:f>
        <x:v>26</x:v>
      </x:c>
      <x:c r="G21" s="11" t="n">
        <x:f>POWER(2,F21)</x:f>
        <x:v>67108864</x:v>
      </x:c>
      <x:c r="H21" s="11" t="n">
        <x:f>G21/$L$3/3600</x:f>
        <x:v>1.153578222659802</x:v>
      </x:c>
      <x:c r="I21" s="9" t="str">
        <x:f>IF(F21&gt;=$L$2,"High","Low")</x:f>
        <x:v>Low</x:v>
      </x:c>
    </x:row>
    <x:row r="22">
      <x:c r="A22" s="9" t="str">
        <x:v>1242</x:v>
      </x:c>
      <x:c r="B22" s="12" t="str">
        <x:v>Clc1ccc(CSC(Cn2ccnc2)c2ccc(Cl)cc2Cl)cc1</x:v>
      </x:c>
      <x:c r="C22" s="10" t="n">
        <x:v>24</x:v>
      </x:c>
      <x:c r="D22" s="10" t="n">
        <x:v>3</x:v>
      </x:c>
      <x:c r="E22" s="10" t="n">
        <x:v>1</x:v>
      </x:c>
      <x:c r="F22" s="10" t="n">
        <x:f>C22-E22+D22</x:f>
        <x:v>26</x:v>
      </x:c>
      <x:c r="G22" s="11" t="n">
        <x:f>POWER(2,F22)</x:f>
        <x:v>67108864</x:v>
      </x:c>
      <x:c r="H22" s="11" t="n">
        <x:f>G22/$L$3/3600</x:f>
        <x:v>1.153578222659802</x:v>
      </x:c>
      <x:c r="I22" s="9" t="str">
        <x:f>IF(F22&gt;=$L$2,"High","Low")</x:f>
        <x:v>Low</x:v>
      </x:c>
    </x:row>
    <x:row r="23">
      <x:c r="A23" s="9" t="str">
        <x:v>1172</x:v>
      </x:c>
      <x:c r="B23" s="12" t="str">
        <x:v>O=C1CN(/N=C/c2ccc(-c3ccc([N+](=O)[O-])cc3)o2)C(=O)N1</x:v>
      </x:c>
      <x:c r="C23" s="10" t="n">
        <x:v>23</x:v>
      </x:c>
      <x:c r="D23" s="10" t="n">
        <x:v>3</x:v>
      </x:c>
      <x:c r="E23" s="10" t="n">
        <x:v>1</x:v>
      </x:c>
      <x:c r="F23" s="10" t="n">
        <x:f>C23-E23+D23</x:f>
        <x:v>25</x:v>
      </x:c>
      <x:c r="G23" s="11" t="n">
        <x:f>POWER(2,F23)</x:f>
        <x:v>33554432</x:v>
      </x:c>
      <x:c r="H23" s="11" t="n">
        <x:f>G23/$L$3/3600</x:f>
        <x:v>0.576789111329901</x:v>
      </x:c>
      <x:c r="I23" s="9" t="str">
        <x:f>IF(F23&gt;=$L$2,"High","Low")</x:f>
        <x:v>Low</x:v>
      </x:c>
    </x:row>
    <x:row r="24">
      <x:c r="A24" s="9" t="str">
        <x:v>1200</x:v>
      </x:c>
      <x:c r="B24" s="12" t="str">
        <x:v>N[C@@H](Cc1cc(I)c(Oc2cc(I)c(O)c(I)c2)c(I)c1)C(=O)O</x:v>
      </x:c>
      <x:c r="C24" s="10" t="n">
        <x:v>24</x:v>
      </x:c>
      <x:c r="D24" s="10" t="n">
        <x:v>2</x:v>
      </x:c>
      <x:c r="E24" s="10" t="n">
        <x:v>1</x:v>
      </x:c>
      <x:c r="F24" s="10" t="n">
        <x:f>C24-E24+D24</x:f>
        <x:v>25</x:v>
      </x:c>
      <x:c r="G24" s="11" t="n">
        <x:f>POWER(2,F24)</x:f>
        <x:v>33554432</x:v>
      </x:c>
      <x:c r="H24" s="11" t="n">
        <x:f>G24/$L$3/3600</x:f>
        <x:v>0.576789111329901</x:v>
      </x:c>
      <x:c r="I24" s="9" t="str">
        <x:f>IF(F24&gt;=$L$2,"High","Low")</x:f>
        <x:v>Low</x:v>
      </x:c>
    </x:row>
    <x:row r="25">
      <x:c r="A25" s="9" t="str">
        <x:v>1223</x:v>
      </x:c>
      <x:c r="B25" s="12" t="str">
        <x:v>CC1(C)S[C@@H]2[C@H](NC(=O)Cc3ccccc3)C(=O)N2[C@H]1C(=O)O</x:v>
      </x:c>
      <x:c r="C25" s="10" t="n">
        <x:v>23</x:v>
      </x:c>
      <x:c r="D25" s="10" t="n">
        <x:v>3</x:v>
      </x:c>
      <x:c r="E25" s="10" t="n">
        <x:v>1</x:v>
      </x:c>
      <x:c r="F25" s="10" t="n">
        <x:f>C25-E25+D25</x:f>
        <x:v>25</x:v>
      </x:c>
      <x:c r="G25" s="11" t="n">
        <x:f>POWER(2,F25)</x:f>
        <x:v>33554432</x:v>
      </x:c>
      <x:c r="H25" s="11" t="n">
        <x:f>G25/$L$3/3600</x:f>
        <x:v>0.576789111329901</x:v>
      </x:c>
      <x:c r="I25" s="9" t="str">
        <x:f>IF(F25&gt;=$L$2,"High","Low")</x:f>
        <x:v>Low</x:v>
      </x:c>
    </x:row>
    <x:row r="26">
      <x:c r="A26" s="9" t="str">
        <x:v>1252</x:v>
      </x:c>
      <x:c r="B26" s="12" t="str">
        <x:v>CC(=O)CC(c1ccccc1)c1c(O)c2ccccc2oc1=O</x:v>
      </x:c>
      <x:c r="C26" s="10" t="n">
        <x:v>23</x:v>
      </x:c>
      <x:c r="D26" s="10" t="n">
        <x:v>3</x:v>
      </x:c>
      <x:c r="E26" s="10" t="n">
        <x:v>1</x:v>
      </x:c>
      <x:c r="F26" s="10" t="n">
        <x:f>C26-E26+D26</x:f>
        <x:v>25</x:v>
      </x:c>
      <x:c r="G26" s="11" t="n">
        <x:f>POWER(2,F26)</x:f>
        <x:v>33554432</x:v>
      </x:c>
      <x:c r="H26" s="11" t="n">
        <x:f>G26/$L$3/3600</x:f>
        <x:v>0.576789111329901</x:v>
      </x:c>
      <x:c r="I26" s="9" t="str">
        <x:f>IF(F26&gt;=$L$2,"High","Low")</x:f>
        <x:v>Low</x:v>
      </x:c>
    </x:row>
    <x:row r="27">
      <x:c r="A27" s="9" t="str">
        <x:v>1144</x:v>
      </x:c>
      <x:c r="B27" s="12" t="str">
        <x:v>CCCC(=O)Nc1ccc(OCC(O)CNC(C)C)c(C(C)=O)c1</x:v>
      </x:c>
      <x:c r="C27" s="10" t="n">
        <x:v>24</x:v>
      </x:c>
      <x:c r="D27" s="10" t="n">
        <x:v>1</x:v>
      </x:c>
      <x:c r="E27" s="10" t="n">
        <x:v>1</x:v>
      </x:c>
      <x:c r="F27" s="10" t="n">
        <x:f>C27-E27+D27</x:f>
        <x:v>24</x:v>
      </x:c>
      <x:c r="G27" s="11" t="n">
        <x:f>POWER(2,F27)</x:f>
        <x:v>16777216</x:v>
      </x:c>
      <x:c r="H27" s="11" t="n">
        <x:f>G27/$L$3/3600</x:f>
        <x:v>0.2883945556649505</x:v>
      </x:c>
      <x:c r="I27" s="9" t="str">
        <x:f>IF(F27&gt;=$L$2,"High","Low")</x:f>
        <x:v>Low</x:v>
      </x:c>
    </x:row>
    <x:row r="28">
      <x:c r="A28" s="9" t="str">
        <x:v>1155</x:v>
      </x:c>
      <x:c r="B28" s="12" t="str">
        <x:v>Cn1c(CCCC(=O)O)nc2cc(N(CCCl)CCCl)ccc21</x:v>
      </x:c>
      <x:c r="C28" s="10" t="n">
        <x:v>23</x:v>
      </x:c>
      <x:c r="D28" s="10" t="n">
        <x:v>2</x:v>
      </x:c>
      <x:c r="E28" s="10" t="n">
        <x:v>1</x:v>
      </x:c>
      <x:c r="F28" s="10" t="n">
        <x:f>C28-E28+D28</x:f>
        <x:v>24</x:v>
      </x:c>
      <x:c r="G28" s="11" t="n">
        <x:f>POWER(2,F28)</x:f>
        <x:v>16777216</x:v>
      </x:c>
      <x:c r="H28" s="11" t="n">
        <x:f>G28/$L$3/3600</x:f>
        <x:v>0.2883945556649505</x:v>
      </x:c>
      <x:c r="I28" s="9" t="str">
        <x:f>IF(F28&gt;=$L$2,"High","Low")</x:f>
        <x:v>Low</x:v>
      </x:c>
    </x:row>
    <x:row r="29">
      <x:c r="A29" s="9" t="str">
        <x:v>1168</x:v>
      </x:c>
      <x:c r="B29" s="12" t="str">
        <x:v>CN(C)CCCN1c2ccccc2CCc2ccc(Cl)cc21</x:v>
      </x:c>
      <x:c r="C29" s="10" t="n">
        <x:v>22</x:v>
      </x:c>
      <x:c r="D29" s="10" t="n">
        <x:v>3</x:v>
      </x:c>
      <x:c r="E29" s="10" t="n">
        <x:v>1</x:v>
      </x:c>
      <x:c r="F29" s="10" t="n">
        <x:f>C29-E29+D29</x:f>
        <x:v>24</x:v>
      </x:c>
      <x:c r="G29" s="11" t="n">
        <x:f>POWER(2,F29)</x:f>
        <x:v>16777216</x:v>
      </x:c>
      <x:c r="H29" s="11" t="n">
        <x:f>G29/$L$3/3600</x:f>
        <x:v>0.2883945556649505</x:v>
      </x:c>
      <x:c r="I29" s="9" t="str">
        <x:f>IF(F29&gt;=$L$2,"High","Low")</x:f>
        <x:v>Low</x:v>
      </x:c>
    </x:row>
    <x:row r="30">
      <x:c r="A30" s="9" t="str">
        <x:v>1170</x:v>
      </x:c>
      <x:c r="B30" s="12" t="str">
        <x:v>O=C(O)C1N=C(c2ccccc2)c2cc(Cl)ccc2NC1=O</x:v>
      </x:c>
      <x:c r="C30" s="10" t="n">
        <x:v>22</x:v>
      </x:c>
      <x:c r="D30" s="10" t="n">
        <x:v>3</x:v>
      </x:c>
      <x:c r="E30" s="10" t="n">
        <x:v>1</x:v>
      </x:c>
      <x:c r="F30" s="10" t="n">
        <x:f>C30-E30+D30</x:f>
        <x:v>24</x:v>
      </x:c>
      <x:c r="G30" s="11" t="n">
        <x:f>POWER(2,F30)</x:f>
        <x:v>16777216</x:v>
      </x:c>
      <x:c r="H30" s="11" t="n">
        <x:f>G30/$L$3/3600</x:f>
        <x:v>0.2883945556649505</x:v>
      </x:c>
      <x:c r="I30" s="9" t="str">
        <x:f>IF(F30&gt;=$L$2,"High","Low")</x:f>
        <x:v>Low</x:v>
      </x:c>
    </x:row>
    <x:row r="31">
      <x:c r="A31" s="9" t="str">
        <x:v>1195</x:v>
      </x:c>
      <x:c r="B31" s="12" t="str">
        <x:v>CCN(CCO)CCCC(C)Nc1ccnc2cc(Cl)ccc12</x:v>
      </x:c>
      <x:c r="C31" s="10" t="n">
        <x:v>23</x:v>
      </x:c>
      <x:c r="D31" s="10" t="n">
        <x:v>2</x:v>
      </x:c>
      <x:c r="E31" s="10" t="n">
        <x:v>1</x:v>
      </x:c>
      <x:c r="F31" s="10" t="n">
        <x:f>C31-E31+D31</x:f>
        <x:v>24</x:v>
      </x:c>
      <x:c r="G31" s="11" t="n">
        <x:f>POWER(2,F31)</x:f>
        <x:v>16777216</x:v>
      </x:c>
      <x:c r="H31" s="11" t="n">
        <x:f>G31/$L$3/3600</x:f>
        <x:v>0.2883945556649505</x:v>
      </x:c>
      <x:c r="I31" s="9" t="str">
        <x:f>IF(F31&gt;=$L$2,"High","Low")</x:f>
        <x:v>Low</x:v>
      </x:c>
    </x:row>
    <x:row r="32">
      <x:c r="A32" s="9" t="str">
        <x:v>1201</x:v>
      </x:c>
      <x:c r="B32" s="12" t="str">
        <x:v>N[C@@H](Cc1cc(I)c(Oc2ccc(O)c(I)c2)c(I)c1)C(=O)O</x:v>
      </x:c>
      <x:c r="C32" s="10" t="n">
        <x:v>23</x:v>
      </x:c>
      <x:c r="D32" s="10" t="n">
        <x:v>2</x:v>
      </x:c>
      <x:c r="E32" s="10" t="n">
        <x:v>1</x:v>
      </x:c>
      <x:c r="F32" s="10" t="n">
        <x:f>C32-E32+D32</x:f>
        <x:v>24</x:v>
      </x:c>
      <x:c r="G32" s="11" t="n">
        <x:f>POWER(2,F32)</x:f>
        <x:v>16777216</x:v>
      </x:c>
      <x:c r="H32" s="11" t="n">
        <x:f>G32/$L$3/3600</x:f>
        <x:v>0.2883945556649505</x:v>
      </x:c>
      <x:c r="I32" s="9" t="str">
        <x:f>IF(F32&gt;=$L$2,"High","Low")</x:f>
        <x:v>Low</x:v>
      </x:c>
    </x:row>
    <x:row r="33">
      <x:c r="A33" s="9" t="str">
        <x:v>1253</x:v>
      </x:c>
      <x:c r="B33" s="12" t="str">
        <x:v>COC(=O)[C@H]1[C@@H](OC(=O)c2ccccc2)C[C@@H]2CC[C@H]1N2C</x:v>
      </x:c>
      <x:c r="C33" s="10" t="n">
        <x:v>22</x:v>
      </x:c>
      <x:c r="D33" s="10" t="n">
        <x:v>3</x:v>
      </x:c>
      <x:c r="E33" s="10" t="n">
        <x:v>1</x:v>
      </x:c>
      <x:c r="F33" s="10" t="n">
        <x:f>C33-E33+D33</x:f>
        <x:v>24</x:v>
      </x:c>
      <x:c r="G33" s="11" t="n">
        <x:f>POWER(2,F33)</x:f>
        <x:v>16777216</x:v>
      </x:c>
      <x:c r="H33" s="11" t="n">
        <x:f>G33/$L$3/3600</x:f>
        <x:v>0.2883945556649505</x:v>
      </x:c>
      <x:c r="I33" s="9" t="str">
        <x:f>IF(F33&gt;=$L$2,"High","Low")</x:f>
        <x:v>Low</x:v>
      </x:c>
    </x:row>
    <x:row r="34">
      <x:c r="A34" s="9" t="str">
        <x:v>1152</x:v>
      </x:c>
      <x:c r="B34" s="12" t="str">
        <x:v>CN1[C@@H]2CC[C@H]1CC(OC(=O)C(CO)c1ccccc1)C2</x:v>
      </x:c>
      <x:c r="C34" s="10" t="n">
        <x:v>21</x:v>
      </x:c>
      <x:c r="D34" s="10" t="n">
        <x:v>3</x:v>
      </x:c>
      <x:c r="E34" s="10" t="n">
        <x:v>1</x:v>
      </x:c>
      <x:c r="F34" s="10" t="n">
        <x:f>C34-E34+D34</x:f>
        <x:v>23</x:v>
      </x:c>
      <x:c r="G34" s="11" t="n">
        <x:f>POWER(2,F34)</x:f>
        <x:v>8388608</x:v>
      </x:c>
      <x:c r="H34" s="11" t="n">
        <x:f>G34/$L$3/3600</x:f>
        <x:v>0.14419727783247524</x:v>
      </x:c>
      <x:c r="I34" s="9" t="str">
        <x:f>IF(F34&gt;=$L$2,"High","Low")</x:f>
        <x:v>Low</x:v>
      </x:c>
    </x:row>
    <x:row r="35">
      <x:c r="A35" s="9" t="str">
        <x:v>1159</x:v>
      </x:c>
      <x:c r="B35" s="12" t="str">
        <x:v>CC(C)NCC(O)COc1ccc(COCCOC(C)C)cc1</x:v>
      </x:c>
      <x:c r="C35" s="10" t="n">
        <x:v>23</x:v>
      </x:c>
      <x:c r="D35" s="10" t="n">
        <x:v>1</x:v>
      </x:c>
      <x:c r="E35" s="10" t="n">
        <x:v>1</x:v>
      </x:c>
      <x:c r="F35" s="10" t="n">
        <x:f>C35-E35+D35</x:f>
        <x:v>23</x:v>
      </x:c>
      <x:c r="G35" s="11" t="n">
        <x:f>POWER(2,F35)</x:f>
        <x:v>8388608</x:v>
      </x:c>
      <x:c r="H35" s="11" t="n">
        <x:f>G35/$L$3/3600</x:f>
        <x:v>0.14419727783247524</x:v>
      </x:c>
      <x:c r="I35" s="9" t="str">
        <x:f>IF(F35&gt;=$L$2,"High","Low")</x:f>
        <x:v>Low</x:v>
      </x:c>
    </x:row>
    <x:row r="36">
      <x:c r="A36" s="9" t="str">
        <x:v>1165</x:v>
      </x:c>
      <x:c r="B36" s="12" t="str">
        <x:v>CCN(CC)CCCC(C)Nc1ccnc2cc(Cl)ccc12</x:v>
      </x:c>
      <x:c r="C36" s="10" t="n">
        <x:v>22</x:v>
      </x:c>
      <x:c r="D36" s="10" t="n">
        <x:v>2</x:v>
      </x:c>
      <x:c r="E36" s="10" t="n">
        <x:v>1</x:v>
      </x:c>
      <x:c r="F36" s="10" t="n">
        <x:f>C36-E36+D36</x:f>
        <x:v>23</x:v>
      </x:c>
      <x:c r="G36" s="11" t="n">
        <x:f>POWER(2,F36)</x:f>
        <x:v>8388608</x:v>
      </x:c>
      <x:c r="H36" s="11" t="n">
        <x:f>G36/$L$3/3600</x:f>
        <x:v>0.14419727783247524</x:v>
      </x:c>
      <x:c r="I36" s="9" t="str">
        <x:f>IF(F36&gt;=$L$2,"High","Low")</x:f>
        <x:v>Low</x:v>
      </x:c>
    </x:row>
    <x:row r="37">
      <x:c r="A37" s="9" t="str">
        <x:v>1166</x:v>
      </x:c>
      <x:c r="B37" s="12" t="str">
        <x:v>CCN(CC)CCCC(C)Nc1ccnc2cc(Cl)ccc12</x:v>
      </x:c>
      <x:c r="C37" s="10" t="n">
        <x:v>22</x:v>
      </x:c>
      <x:c r="D37" s="10" t="n">
        <x:v>2</x:v>
      </x:c>
      <x:c r="E37" s="10" t="n">
        <x:v>1</x:v>
      </x:c>
      <x:c r="F37" s="10" t="n">
        <x:f>C37-E37+D37</x:f>
        <x:v>23</x:v>
      </x:c>
      <x:c r="G37" s="11" t="n">
        <x:f>POWER(2,F37)</x:f>
        <x:v>8388608</x:v>
      </x:c>
      <x:c r="H37" s="11" t="n">
        <x:f>G37/$L$3/3600</x:f>
        <x:v>0.14419727783247524</x:v>
      </x:c>
      <x:c r="I37" s="9" t="str">
        <x:f>IF(F37&gt;=$L$2,"High","Low")</x:f>
        <x:v>Low</x:v>
      </x:c>
    </x:row>
    <x:row r="38">
      <x:c r="A38" s="9" t="str">
        <x:v>1177</x:v>
      </x:c>
      <x:c r="B38" s="12" t="str">
        <x:v>CCN(CC)CCOC(=O)C1(C2CCCCC2)CCCCC1</x:v>
      </x:c>
      <x:c r="C38" s="10" t="n">
        <x:v>22</x:v>
      </x:c>
      <x:c r="D38" s="10" t="n">
        <x:v>2</x:v>
      </x:c>
      <x:c r="E38" s="10" t="n">
        <x:v>1</x:v>
      </x:c>
      <x:c r="F38" s="10" t="n">
        <x:f>C38-E38+D38</x:f>
        <x:v>23</x:v>
      </x:c>
      <x:c r="G38" s="11" t="n">
        <x:f>POWER(2,F38)</x:f>
        <x:v>8388608</x:v>
      </x:c>
      <x:c r="H38" s="11" t="n">
        <x:f>G38/$L$3/3600</x:f>
        <x:v>0.14419727783247524</x:v>
      </x:c>
      <x:c r="I38" s="9" t="str">
        <x:f>IF(F38&gt;=$L$2,"High","Low")</x:f>
        <x:v>Low</x:v>
      </x:c>
    </x:row>
    <x:row r="39">
      <x:c r="A39" s="9" t="str">
        <x:v>1225</x:v>
      </x:c>
      <x:c r="B39" s="12" t="str">
        <x:v>Cc1ccc(N(CC2=NCCN2)c2cccc(O)c2)cc1</x:v>
      </x:c>
      <x:c r="C39" s="10" t="n">
        <x:v>21</x:v>
      </x:c>
      <x:c r="D39" s="10" t="n">
        <x:v>3</x:v>
      </x:c>
      <x:c r="E39" s="10" t="n">
        <x:v>1</x:v>
      </x:c>
      <x:c r="F39" s="10" t="n">
        <x:f>C39-E39+D39</x:f>
        <x:v>23</x:v>
      </x:c>
      <x:c r="G39" s="11" t="n">
        <x:f>POWER(2,F39)</x:f>
        <x:v>8388608</x:v>
      </x:c>
      <x:c r="H39" s="11" t="n">
        <x:f>G39/$L$3/3600</x:f>
        <x:v>0.14419727783247524</x:v>
      </x:c>
      <x:c r="I39" s="9" t="str">
        <x:f>IF(F39&gt;=$L$2,"High","Low")</x:f>
        <x:v>Low</x:v>
      </x:c>
    </x:row>
    <x:row r="40">
      <x:c r="A40" s="9" t="str">
        <x:v>1230</x:v>
      </x:c>
      <x:c r="B40" s="12" t="str">
        <x:v>OC(CCN1CCCC1)(c1ccccc1)C1CCCCC1</x:v>
      </x:c>
      <x:c r="C40" s="10" t="n">
        <x:v>21</x:v>
      </x:c>
      <x:c r="D40" s="10" t="n">
        <x:v>3</x:v>
      </x:c>
      <x:c r="E40" s="10" t="n">
        <x:v>1</x:v>
      </x:c>
      <x:c r="F40" s="10" t="n">
        <x:f>C40-E40+D40</x:f>
        <x:v>23</x:v>
      </x:c>
      <x:c r="G40" s="11" t="n">
        <x:f>POWER(2,F40)</x:f>
        <x:v>8388608</x:v>
      </x:c>
      <x:c r="H40" s="11" t="n">
        <x:f>G40/$L$3/3600</x:f>
        <x:v>0.14419727783247524</x:v>
      </x:c>
      <x:c r="I40" s="9" t="str">
        <x:f>IF(F40&gt;=$L$2,"High","Low")</x:f>
        <x:v>Low</x:v>
      </x:c>
    </x:row>
    <x:row r="41">
      <x:c r="A41" s="9" t="str">
        <x:v>1191</x:v>
      </x:c>
      <x:c r="B41" s="12" t="str">
        <x:v>COCCCC/C(=N\OCCN)c1ccc(C(F)(F)F)cc1</x:v>
      </x:c>
      <x:c r="C41" s="10" t="n">
        <x:v>22</x:v>
      </x:c>
      <x:c r="D41" s="10" t="n">
        <x:v>1</x:v>
      </x:c>
      <x:c r="E41" s="10" t="n">
        <x:v>1</x:v>
      </x:c>
      <x:c r="F41" s="10" t="n">
        <x:f>C41-E41+D41</x:f>
        <x:v>22</x:v>
      </x:c>
      <x:c r="G41" s="11" t="n">
        <x:f>POWER(2,F41)</x:f>
        <x:v>4194304</x:v>
      </x:c>
      <x:c r="H41" s="11" t="n">
        <x:f>G41/$L$3/3600</x:f>
        <x:v>0.07209863891623762</x:v>
      </x:c>
      <x:c r="I41" s="9" t="str">
        <x:f>IF(F41&gt;=$L$2,"High","Low")</x:f>
        <x:v>Low</x:v>
      </x:c>
    </x:row>
    <x:row r="42">
      <x:c r="A42" s="9" t="str">
        <x:v>1231</x:v>
      </x:c>
      <x:c r="B42" s="12" t="str">
        <x:v>CC(CN1c2ccccc2Sc2ccccc21)N(C)C</x:v>
      </x:c>
      <x:c r="C42" s="10" t="n">
        <x:v>20</x:v>
      </x:c>
      <x:c r="D42" s="10" t="n">
        <x:v>3</x:v>
      </x:c>
      <x:c r="E42" s="10" t="n">
        <x:v>1</x:v>
      </x:c>
      <x:c r="F42" s="10" t="n">
        <x:f>C42-E42+D42</x:f>
        <x:v>22</x:v>
      </x:c>
      <x:c r="G42" s="11" t="n">
        <x:f>POWER(2,F42)</x:f>
        <x:v>4194304</x:v>
      </x:c>
      <x:c r="H42" s="11" t="n">
        <x:f>G42/$L$3/3600</x:f>
        <x:v>0.07209863891623762</x:v>
      </x:c>
      <x:c r="I42" s="9" t="str">
        <x:f>IF(F42&gt;=$L$2,"High","Low")</x:f>
        <x:v>Low</x:v>
      </x:c>
    </x:row>
    <x:row r="43">
      <x:c r="A43" s="9" t="str">
        <x:v>1249</x:v>
      </x:c>
      <x:c r="B43" s="12" t="str">
        <x:v>CC(C)(C)NC[C@H](O)COc1nsnc1N1CCOCC1</x:v>
      </x:c>
      <x:c r="C43" s="10" t="n">
        <x:v>21</x:v>
      </x:c>
      <x:c r="D43" s="10" t="n">
        <x:v>2</x:v>
      </x:c>
      <x:c r="E43" s="10" t="n">
        <x:v>1</x:v>
      </x:c>
      <x:c r="F43" s="10" t="n">
        <x:f>C43-E43+D43</x:f>
        <x:v>22</x:v>
      </x:c>
      <x:c r="G43" s="11" t="n">
        <x:f>POWER(2,F43)</x:f>
        <x:v>4194304</x:v>
      </x:c>
      <x:c r="H43" s="11" t="n">
        <x:f>G43/$L$3/3600</x:f>
        <x:v>0.07209863891623762</x:v>
      </x:c>
      <x:c r="I43" s="9" t="str">
        <x:f>IF(F43&gt;=$L$2,"High","Low")</x:f>
        <x:v>Low</x:v>
      </x:c>
    </x:row>
    <x:row r="44">
      <x:c r="A44" s="9" t="str">
        <x:v>1164</x:v>
      </x:c>
      <x:c r="B44" s="12" t="str">
        <x:v>CN(C)CCOC(c1ccc(Cl)cc1)c1ccccn1</x:v>
      </x:c>
      <x:c r="C44" s="10" t="n">
        <x:v>20</x:v>
      </x:c>
      <x:c r="D44" s="10" t="n">
        <x:v>2</x:v>
      </x:c>
      <x:c r="E44" s="10" t="n">
        <x:v>1</x:v>
      </x:c>
      <x:c r="F44" s="10" t="n">
        <x:f>C44-E44+D44</x:f>
        <x:v>21</x:v>
      </x:c>
      <x:c r="G44" s="11" t="n">
        <x:f>POWER(2,F44)</x:f>
        <x:v>2097152</x:v>
      </x:c>
      <x:c r="H44" s="11" t="n">
        <x:f>G44/$L$3/3600</x:f>
        <x:v>0.03604931945811881</x:v>
      </x:c>
      <x:c r="I44" s="9" t="str">
        <x:f>IF(F44&gt;=$L$2,"High","Low")</x:f>
        <x:v>Low</x:v>
      </x:c>
    </x:row>
    <x:row r="45">
      <x:c r="A45" s="9" t="str">
        <x:v>1215</x:v>
      </x:c>
      <x:c r="B45" s="12" t="str">
        <x:v>Cc1ccccc1C(OCCN(C)C)c1ccccc1</x:v>
      </x:c>
      <x:c r="C45" s="10" t="n">
        <x:v>20</x:v>
      </x:c>
      <x:c r="D45" s="10" t="n">
        <x:v>2</x:v>
      </x:c>
      <x:c r="E45" s="10" t="n">
        <x:v>1</x:v>
      </x:c>
      <x:c r="F45" s="10" t="n">
        <x:f>C45-E45+D45</x:f>
        <x:v>21</x:v>
      </x:c>
      <x:c r="G45" s="11" t="n">
        <x:f>POWER(2,F45)</x:f>
        <x:v>2097152</x:v>
      </x:c>
      <x:c r="H45" s="11" t="n">
        <x:f>G45/$L$3/3600</x:f>
        <x:v>0.03604931945811881</x:v>
      </x:c>
      <x:c r="I45" s="9" t="str">
        <x:f>IF(F45&gt;=$L$2,"High","Low")</x:f>
        <x:v>Low</x:v>
      </x:c>
    </x:row>
    <x:row r="46">
      <x:c r="A46" s="9" t="str">
        <x:v>1232</x:v>
      </x:c>
      <x:c r="B46" s="12" t="str">
        <x:v>CCCOc1ccc(C(=O)OCCN(CC)CC)cc1N</x:v>
      </x:c>
      <x:c r="C46" s="10" t="n">
        <x:v>21</x:v>
      </x:c>
      <x:c r="D46" s="10" t="n">
        <x:v>1</x:v>
      </x:c>
      <x:c r="E46" s="10" t="n">
        <x:v>1</x:v>
      </x:c>
      <x:c r="F46" s="10" t="n">
        <x:f>C46-E46+D46</x:f>
        <x:v>21</x:v>
      </x:c>
      <x:c r="G46" s="11" t="n">
        <x:f>POWER(2,F46)</x:f>
        <x:v>2097152</x:v>
      </x:c>
      <x:c r="H46" s="11" t="n">
        <x:f>G46/$L$3/3600</x:f>
        <x:v>0.03604931945811881</x:v>
      </x:c>
      <x:c r="I46" s="9" t="str">
        <x:f>IF(F46&gt;=$L$2,"High","Low")</x:f>
        <x:v>Low</x:v>
      </x:c>
    </x:row>
    <x:row r="47">
      <x:c r="A47" s="9" t="str">
        <x:v>1243</x:v>
      </x:c>
      <x:c r="B47" s="12" t="str">
        <x:v>CNS(=O)(=O)Cc1ccc2[nH]cc(CCN(C)C)c2c1</x:v>
      </x:c>
      <x:c r="C47" s="10" t="n">
        <x:v>20</x:v>
      </x:c>
      <x:c r="D47" s="10" t="n">
        <x:v>2</x:v>
      </x:c>
      <x:c r="E47" s="10" t="n">
        <x:v>1</x:v>
      </x:c>
      <x:c r="F47" s="10" t="n">
        <x:f>C47-E47+D47</x:f>
        <x:v>21</x:v>
      </x:c>
      <x:c r="G47" s="11" t="n">
        <x:f>POWER(2,F47)</x:f>
        <x:v>2097152</x:v>
      </x:c>
      <x:c r="H47" s="11" t="n">
        <x:f>G47/$L$3/3600</x:f>
        <x:v>0.03604931945811881</x:v>
      </x:c>
      <x:c r="I47" s="9" t="str">
        <x:f>IF(F47&gt;=$L$2,"High","Low")</x:f>
        <x:v>Low</x:v>
      </x:c>
    </x:row>
    <x:row r="48">
      <x:c r="A48" s="9" t="str">
        <x:v>1176</x:v>
      </x:c>
      <x:c r="B48" s="12" t="str">
        <x:v>O=C(O)Cc1ccccc1Nc1c(Cl)cccc1Cl</x:v>
      </x:c>
      <x:c r="C48" s="10" t="n">
        <x:v>19</x:v>
      </x:c>
      <x:c r="D48" s="10" t="n">
        <x:v>2</x:v>
      </x:c>
      <x:c r="E48" s="10" t="n">
        <x:v>1</x:v>
      </x:c>
      <x:c r="F48" s="10" t="n">
        <x:f>C48-E48+D48</x:f>
        <x:v>20</x:v>
      </x:c>
      <x:c r="G48" s="11" t="n">
        <x:f>POWER(2,F48)</x:f>
        <x:v>1048576</x:v>
      </x:c>
      <x:c r="H48" s="11" t="n">
        <x:f>G48/$L$3/3600</x:f>
        <x:v>0.018024659729059405</x:v>
      </x:c>
      <x:c r="I48" s="9" t="str">
        <x:f>IF(F48&gt;=$L$2,"High","Low")</x:f>
        <x:v>Low</x:v>
      </x:c>
    </x:row>
    <x:row r="49">
      <x:c r="A49" s="9" t="str">
        <x:v>1218</x:v>
      </x:c>
      <x:c r="B49" s="12" t="str">
        <x:v>Cc1cc(C(C)(C)C)c(O)c(C)c1CC1=NCCN1</x:v>
      </x:c>
      <x:c r="C49" s="10" t="n">
        <x:v>19</x:v>
      </x:c>
      <x:c r="D49" s="10" t="n">
        <x:v>2</x:v>
      </x:c>
      <x:c r="E49" s="10" t="n">
        <x:v>1</x:v>
      </x:c>
      <x:c r="F49" s="10" t="n">
        <x:f>C49-E49+D49</x:f>
        <x:v>20</x:v>
      </x:c>
      <x:c r="G49" s="11" t="n">
        <x:f>POWER(2,F49)</x:f>
        <x:v>1048576</x:v>
      </x:c>
      <x:c r="H49" s="11" t="n">
        <x:f>G49/$L$3/3600</x:f>
        <x:v>0.018024659729059405</x:v>
      </x:c>
      <x:c r="I49" s="9" t="str">
        <x:f>IF(F49&gt;=$L$2,"High","Low")</x:f>
        <x:v>Low</x:v>
      </x:c>
    </x:row>
    <x:row r="50">
      <x:c r="A50" s="9" t="str">
        <x:v>1156</x:v>
      </x:c>
      <x:c r="B50" s="12" t="str">
        <x:v>C[C@@H](Cc1ccccc1)N(C)Cc1ccccc1</x:v>
      </x:c>
      <x:c r="C50" s="10" t="n">
        <x:v>18</x:v>
      </x:c>
      <x:c r="D50" s="10" t="n">
        <x:v>2</x:v>
      </x:c>
      <x:c r="E50" s="10" t="n">
        <x:v>1</x:v>
      </x:c>
      <x:c r="F50" s="10" t="n">
        <x:f>C50-E50+D50</x:f>
        <x:v>19</x:v>
      </x:c>
      <x:c r="G50" s="11" t="n">
        <x:f>POWER(2,F50)</x:f>
        <x:v>524288</x:v>
      </x:c>
      <x:c r="H50" s="11" t="n">
        <x:f>G50/$L$3/3600</x:f>
        <x:v>0.009012329864529703</x:v>
      </x:c>
      <x:c r="I50" s="9" t="str">
        <x:f>IF(F50&gt;=$L$2,"High","Low")</x:f>
        <x:v>Low</x:v>
      </x:c>
    </x:row>
    <x:row r="51">
      <x:c r="A51" s="9" t="str">
        <x:v>1190</x:v>
      </x:c>
      <x:c r="B51" s="12" t="str">
        <x:v>CC(C(=O)O)c1ccc(-c2ccccc2)c(F)c1</x:v>
      </x:c>
      <x:c r="C51" s="10" t="n">
        <x:v>18</x:v>
      </x:c>
      <x:c r="D51" s="10" t="n">
        <x:v>2</x:v>
      </x:c>
      <x:c r="E51" s="10" t="n">
        <x:v>1</x:v>
      </x:c>
      <x:c r="F51" s="10" t="n">
        <x:f>C51-E51+D51</x:f>
        <x:v>19</x:v>
      </x:c>
      <x:c r="G51" s="11" t="n">
        <x:f>POWER(2,F51)</x:f>
        <x:v>524288</x:v>
      </x:c>
      <x:c r="H51" s="11" t="n">
        <x:f>G51/$L$3/3600</x:f>
        <x:v>0.009012329864529703</x:v>
      </x:c>
      <x:c r="I51" s="9" t="str">
        <x:f>IF(F51&gt;=$L$2,"High","Low")</x:f>
        <x:v>Low</x:v>
      </x:c>
    </x:row>
    <x:row r="52">
      <x:c r="A52" s="9" t="str">
        <x:v>1204</x:v>
      </x:c>
      <x:c r="B52" s="12" t="str">
        <x:v>C=CCC1(C(C)C#CCC)C(=O)NC(=O)N(C)C1=O</x:v>
      </x:c>
      <x:c r="C52" s="10" t="n">
        <x:v>19</x:v>
      </x:c>
      <x:c r="D52" s="10" t="n">
        <x:v>1</x:v>
      </x:c>
      <x:c r="E52" s="10" t="n">
        <x:v>1</x:v>
      </x:c>
      <x:c r="F52" s="10" t="n">
        <x:f>C52-E52+D52</x:f>
        <x:v>19</x:v>
      </x:c>
      <x:c r="G52" s="11" t="n">
        <x:f>POWER(2,F52)</x:f>
        <x:v>524288</x:v>
      </x:c>
      <x:c r="H52" s="11" t="n">
        <x:f>G52/$L$3/3600</x:f>
        <x:v>0.009012329864529703</x:v>
      </x:c>
      <x:c r="I52" s="9" t="str">
        <x:f>IF(F52&gt;=$L$2,"High","Low")</x:f>
        <x:v>Low</x:v>
      </x:c>
    </x:row>
    <x:row r="53">
      <x:c r="A53" s="9" t="str">
        <x:v>1207</x:v>
      </x:c>
      <x:c r="B53" s="12" t="str">
        <x:v>COCCc1ccc(OCC(O)CNC(C)C)cc1</x:v>
      </x:c>
      <x:c r="C53" s="10" t="n">
        <x:v>19</x:v>
      </x:c>
      <x:c r="D53" s="10" t="n">
        <x:v>1</x:v>
      </x:c>
      <x:c r="E53" s="10" t="n">
        <x:v>1</x:v>
      </x:c>
      <x:c r="F53" s="10" t="n">
        <x:f>C53-E53+D53</x:f>
        <x:v>19</x:v>
      </x:c>
      <x:c r="G53" s="11" t="n">
        <x:f>POWER(2,F53)</x:f>
        <x:v>524288</x:v>
      </x:c>
      <x:c r="H53" s="11" t="n">
        <x:f>G53/$L$3/3600</x:f>
        <x:v>0.009012329864529703</x:v>
      </x:c>
      <x:c r="I53" s="9" t="str">
        <x:f>IF(F53&gt;=$L$2,"High","Low")</x:f>
        <x:v>Low</x:v>
      </x:c>
    </x:row>
    <x:row r="54">
      <x:c r="A54" s="9" t="str">
        <x:v>1208</x:v>
      </x:c>
      <x:c r="B54" s="12" t="str">
        <x:v>COCCc1ccc(OCC(O)CNC(C)C)cc1</x:v>
      </x:c>
      <x:c r="C54" s="10" t="n">
        <x:v>19</x:v>
      </x:c>
      <x:c r="D54" s="10" t="n">
        <x:v>1</x:v>
      </x:c>
      <x:c r="E54" s="10" t="n">
        <x:v>1</x:v>
      </x:c>
      <x:c r="F54" s="10" t="n">
        <x:f>C54-E54+D54</x:f>
        <x:v>19</x:v>
      </x:c>
      <x:c r="G54" s="11" t="n">
        <x:f>POWER(2,F54)</x:f>
        <x:v>524288</x:v>
      </x:c>
      <x:c r="H54" s="11" t="n">
        <x:f>G54/$L$3/3600</x:f>
        <x:v>0.009012329864529703</x:v>
      </x:c>
      <x:c r="I54" s="9" t="str">
        <x:f>IF(F54&gt;=$L$2,"High","Low")</x:f>
        <x:v>Low</x:v>
      </x:c>
    </x:row>
    <x:row r="55">
      <x:c r="A55" s="9" t="str">
        <x:v>1222</x:v>
      </x:c>
      <x:c r="B55" s="12" t="str">
        <x:v>Cc1cccn2c(=O)c(-c3nn[nH]n3)cnc12</x:v>
      </x:c>
      <x:c r="C55" s="10" t="n">
        <x:v>17</x:v>
      </x:c>
      <x:c r="D55" s="10" t="n">
        <x:v>3</x:v>
      </x:c>
      <x:c r="E55" s="10" t="n">
        <x:v>1</x:v>
      </x:c>
      <x:c r="F55" s="10" t="n">
        <x:f>C55-E55+D55</x:f>
        <x:v>19</x:v>
      </x:c>
      <x:c r="G55" s="11" t="n">
        <x:f>POWER(2,F55)</x:f>
        <x:v>524288</x:v>
      </x:c>
      <x:c r="H55" s="11" t="n">
        <x:f>G55/$L$3/3600</x:f>
        <x:v>0.009012329864529703</x:v>
      </x:c>
      <x:c r="I55" s="9" t="str">
        <x:f>IF(F55&gt;=$L$2,"High","Low")</x:f>
        <x:v>Low</x:v>
      </x:c>
    </x:row>
    <x:row r="56">
      <x:c r="A56" s="9" t="str">
        <x:v>1247</x:v>
      </x:c>
      <x:c r="B56" s="12" t="str">
        <x:v>Clc1ccccc1CN1CCc2sccc2C1</x:v>
      </x:c>
      <x:c r="C56" s="10" t="n">
        <x:v>17</x:v>
      </x:c>
      <x:c r="D56" s="10" t="n">
        <x:v>3</x:v>
      </x:c>
      <x:c r="E56" s="10" t="n">
        <x:v>1</x:v>
      </x:c>
      <x:c r="F56" s="10" t="n">
        <x:f>C56-E56+D56</x:f>
        <x:v>19</x:v>
      </x:c>
      <x:c r="G56" s="11" t="n">
        <x:f>POWER(2,F56)</x:f>
        <x:v>524288</x:v>
      </x:c>
      <x:c r="H56" s="11" t="n">
        <x:f>G56/$L$3/3600</x:f>
        <x:v>0.009012329864529703</x:v>
      </x:c>
      <x:c r="I56" s="9" t="str">
        <x:f>IF(F56&gt;=$L$2,"High","Low")</x:f>
        <x:v>Low</x:v>
      </x:c>
    </x:row>
    <x:row r="57">
      <x:c r="A57" s="9" t="str">
        <x:v>1175</x:v>
      </x:c>
      <x:c r="B57" s="12" t="str">
        <x:v>COC(=O)[C@H](c1ccccc1)[C@H]1CCCCN1</x:v>
      </x:c>
      <x:c r="C57" s="10" t="n">
        <x:v>17</x:v>
      </x:c>
      <x:c r="D57" s="10" t="n">
        <x:v>2</x:v>
      </x:c>
      <x:c r="E57" s="10" t="n">
        <x:v>1</x:v>
      </x:c>
      <x:c r="F57" s="10" t="n">
        <x:f>C57-E57+D57</x:f>
        <x:v>18</x:v>
      </x:c>
      <x:c r="G57" s="11" t="n">
        <x:f>POWER(2,F57)</x:f>
        <x:v>262144</x:v>
      </x:c>
      <x:c r="H57" s="11" t="n">
        <x:f>G57/$L$3/3600</x:f>
        <x:v>0.004506164932264851</x:v>
      </x:c>
      <x:c r="I57" s="9" t="str">
        <x:f>IF(F57&gt;=$L$2,"High","Low")</x:f>
        <x:v>Low</x:v>
      </x:c>
    </x:row>
    <x:row r="58">
      <x:c r="A58" s="9" t="str">
        <x:v>1147</x:v>
      </x:c>
      <x:c r="B58" s="12" t="str">
        <x:v>Nc1nc2c(ncn2COCCO)c(=O)[nH]1</x:v>
      </x:c>
      <x:c r="C58" s="10" t="n">
        <x:v>16</x:v>
      </x:c>
      <x:c r="D58" s="10" t="n">
        <x:v>2</x:v>
      </x:c>
      <x:c r="E58" s="10" t="n">
        <x:v>1</x:v>
      </x:c>
      <x:c r="F58" s="10" t="n">
        <x:f>C58-E58+D58</x:f>
        <x:v>17</x:v>
      </x:c>
      <x:c r="G58" s="11" t="n">
        <x:f>POWER(2,F58)</x:f>
        <x:v>131072</x:v>
      </x:c>
      <x:c r="H58" s="11" t="n">
        <x:f>G58/$L$3/3600</x:f>
        <x:v>0.0022530824661324256</x:v>
      </x:c>
      <x:c r="I58" s="9" t="str">
        <x:f>IF(F58&gt;=$L$2,"High","Low")</x:f>
        <x:v>Low</x:v>
      </x:c>
    </x:row>
    <x:row r="59">
      <x:c r="A59" s="9" t="str">
        <x:v>1148</x:v>
      </x:c>
      <x:c r="B59" s="12" t="str">
        <x:v>CC(C)(C)NCC(O)c1ccc(O)c(CO)c1</x:v>
      </x:c>
      <x:c r="C59" s="10" t="n">
        <x:v>17</x:v>
      </x:c>
      <x:c r="D59" s="10" t="n">
        <x:v>1</x:v>
      </x:c>
      <x:c r="E59" s="10" t="n">
        <x:v>1</x:v>
      </x:c>
      <x:c r="F59" s="10" t="n">
        <x:f>C59-E59+D59</x:f>
        <x:v>17</x:v>
      </x:c>
      <x:c r="G59" s="11" t="n">
        <x:f>POWER(2,F59)</x:f>
        <x:v>131072</x:v>
      </x:c>
      <x:c r="H59" s="11" t="n">
        <x:f>G59/$L$3/3600</x:f>
        <x:v>0.0022530824661324256</x:v>
      </x:c>
      <x:c r="I59" s="9" t="str">
        <x:f>IF(F59&gt;=$L$2,"High","Low")</x:f>
        <x:v>Low</x:v>
      </x:c>
    </x:row>
    <x:row r="60">
      <x:c r="A60" s="9" t="str">
        <x:v>1239</x:v>
      </x:c>
      <x:c r="B60" s="12" t="str">
        <x:v>O=P(O)(O)C(O)(Cc1cccnc1)P(=O)(O)O</x:v>
      </x:c>
      <x:c r="C60" s="10" t="n">
        <x:v>17</x:v>
      </x:c>
      <x:c r="D60" s="10" t="n">
        <x:v>1</x:v>
      </x:c>
      <x:c r="E60" s="10" t="n">
        <x:v>1</x:v>
      </x:c>
      <x:c r="F60" s="10" t="n">
        <x:f>C60-E60+D60</x:f>
        <x:v>17</x:v>
      </x:c>
      <x:c r="G60" s="11" t="n">
        <x:f>POWER(2,F60)</x:f>
        <x:v>131072</x:v>
      </x:c>
      <x:c r="H60" s="11" t="n">
        <x:f>G60/$L$3/3600</x:f>
        <x:v>0.0022530824661324256</x:v>
      </x:c>
      <x:c r="I60" s="9" t="str">
        <x:f>IF(F60&gt;=$L$2,"High","Low")</x:f>
        <x:v>Low</x:v>
      </x:c>
    </x:row>
    <x:row r="61">
      <x:c r="A61" s="9" t="str">
        <x:v>1248</x:v>
      </x:c>
      <x:c r="B61" s="12" t="str">
        <x:v>O=P(O)(O)C(Sc1ccc(Cl)cc1)P(=O)(O)O</x:v>
      </x:c>
      <x:c r="C61" s="10" t="n">
        <x:v>17</x:v>
      </x:c>
      <x:c r="D61" s="10" t="n">
        <x:v>1</x:v>
      </x:c>
      <x:c r="E61" s="10" t="n">
        <x:v>1</x:v>
      </x:c>
      <x:c r="F61" s="10" t="n">
        <x:f>C61-E61+D61</x:f>
        <x:v>17</x:v>
      </x:c>
      <x:c r="G61" s="11" t="n">
        <x:f>POWER(2,F61)</x:f>
        <x:v>131072</x:v>
      </x:c>
      <x:c r="H61" s="11" t="n">
        <x:f>G61/$L$3/3600</x:f>
        <x:v>0.0022530824661324256</x:v>
      </x:c>
      <x:c r="I61" s="9" t="str">
        <x:f>IF(F61&gt;=$L$2,"High","Low")</x:f>
        <x:v>Low</x:v>
      </x:c>
    </x:row>
    <x:row r="62">
      <x:c r="A62" s="9" t="str">
        <x:v>1174</x:v>
      </x:c>
      <x:c r="B62" s="12" t="str">
        <x:v>Cc1cccc([C@H](C)c2cnc[nH]2)c1C</x:v>
      </x:c>
      <x:c r="C62" s="10" t="n">
        <x:v>15</x:v>
      </x:c>
      <x:c r="D62" s="10" t="n">
        <x:v>2</x:v>
      </x:c>
      <x:c r="E62" s="10" t="n">
        <x:v>1</x:v>
      </x:c>
      <x:c r="F62" s="10" t="n">
        <x:f>C62-E62+D62</x:f>
        <x:v>16</x:v>
      </x:c>
      <x:c r="G62" s="11" t="n">
        <x:f>POWER(2,F62)</x:f>
        <x:v>65536</x:v>
      </x:c>
      <x:c r="H62" s="11" t="n">
        <x:f>G62/$L$3/3600</x:f>
        <x:v>0.0011265412330662128</x:v>
      </x:c>
      <x:c r="I62" s="9" t="str">
        <x:f>IF(F62&gt;=$L$2,"High","Low")</x:f>
        <x:v>Low</x:v>
      </x:c>
    </x:row>
    <x:row r="63">
      <x:c r="A63" s="9" t="str">
        <x:v>1227</x:v>
      </x:c>
      <x:c r="B63" s="12" t="str">
        <x:v>CC[C@@H]1C(=O)OC[C@@H]1Cc1cncn1C</x:v>
      </x:c>
      <x:c r="C63" s="10" t="n">
        <x:v>15</x:v>
      </x:c>
      <x:c r="D63" s="10" t="n">
        <x:v>2</x:v>
      </x:c>
      <x:c r="E63" s="10" t="n">
        <x:v>1</x:v>
      </x:c>
      <x:c r="F63" s="10" t="n">
        <x:f>C63-E63+D63</x:f>
        <x:v>16</x:v>
      </x:c>
      <x:c r="G63" s="11" t="n">
        <x:f>POWER(2,F63)</x:f>
        <x:v>65536</x:v>
      </x:c>
      <x:c r="H63" s="11" t="n">
        <x:f>G63/$L$3/3600</x:f>
        <x:v>0.0011265412330662128</x:v>
      </x:c>
      <x:c r="I63" s="9" t="str">
        <x:f>IF(F63&gt;=$L$2,"High","Low")</x:f>
        <x:v>Low</x:v>
      </x:c>
    </x:row>
    <x:row r="64">
      <x:c r="A64" s="9" t="str">
        <x:v>1161</x:v>
      </x:c>
      <x:c r="B64" s="12" t="str">
        <x:v>CCC(C)C1(CC)C(=O)NC(=O)NC1=O</x:v>
      </x:c>
      <x:c r="C64" s="10" t="n">
        <x:v>15</x:v>
      </x:c>
      <x:c r="D64" s="10" t="n">
        <x:v>1</x:v>
      </x:c>
      <x:c r="E64" s="10" t="n">
        <x:v>1</x:v>
      </x:c>
      <x:c r="F64" s="10" t="n">
        <x:f>C64-E64+D64</x:f>
        <x:v>15</x:v>
      </x:c>
      <x:c r="G64" s="11" t="n">
        <x:f>POWER(2,F64)</x:f>
        <x:v>32768</x:v>
      </x:c>
      <x:c r="H64" s="11" t="n">
        <x:f>G64/$L$3/3600</x:f>
        <x:v>0.0005632706165331064</x:v>
      </x:c>
      <x:c r="I64" s="9" t="str">
        <x:f>IF(F64&gt;=$L$2,"High","Low")</x:f>
        <x:v>Low</x:v>
      </x:c>
    </x:row>
    <x:row r="65">
      <x:c r="A65" s="9" t="str">
        <x:v>1163</x:v>
      </x:c>
      <x:c r="B65" s="12" t="str">
        <x:v>Cn1c(=O)c2c(ncn2C)n(C)c1=O</x:v>
      </x:c>
      <x:c r="C65" s="10" t="n">
        <x:v>14</x:v>
      </x:c>
      <x:c r="D65" s="10" t="n">
        <x:v>2</x:v>
      </x:c>
      <x:c r="E65" s="10" t="n">
        <x:v>1</x:v>
      </x:c>
      <x:c r="F65" s="10" t="n">
        <x:f>C65-E65+D65</x:f>
        <x:v>15</x:v>
      </x:c>
      <x:c r="G65" s="11" t="n">
        <x:f>POWER(2,F65)</x:f>
        <x:v>32768</x:v>
      </x:c>
      <x:c r="H65" s="11" t="n">
        <x:f>G65/$L$3/3600</x:f>
        <x:v>0.0005632706165331064</x:v>
      </x:c>
      <x:c r="I65" s="9" t="str">
        <x:f>IF(F65&gt;=$L$2,"High","Low")</x:f>
        <x:v>Low</x:v>
      </x:c>
    </x:row>
    <x:row r="66">
      <x:c r="A66" s="9" t="str">
        <x:v>1169</x:v>
      </x:c>
      <x:c r="B66" s="12" t="str">
        <x:v>Clc1cccc(Cl)c1NC1=NCCN1</x:v>
      </x:c>
      <x:c r="C66" s="10" t="n">
        <x:v>14</x:v>
      </x:c>
      <x:c r="D66" s="10" t="n">
        <x:v>2</x:v>
      </x:c>
      <x:c r="E66" s="10" t="n">
        <x:v>1</x:v>
      </x:c>
      <x:c r="F66" s="10" t="n">
        <x:f>C66-E66+D66</x:f>
        <x:v>15</x:v>
      </x:c>
      <x:c r="G66" s="11" t="n">
        <x:f>POWER(2,F66)</x:f>
        <x:v>32768</x:v>
      </x:c>
      <x:c r="H66" s="11" t="n">
        <x:f>G66/$L$3/3600</x:f>
        <x:v>0.0005632706165331064</x:v>
      </x:c>
      <x:c r="I66" s="9" t="str">
        <x:f>IF(F66&gt;=$L$2,"High","Low")</x:f>
        <x:v>Low</x:v>
      </x:c>
    </x:row>
    <x:row r="67">
      <x:c r="A67" s="9" t="str">
        <x:v>1178</x:v>
      </x:c>
      <x:c r="B67" s="12" t="str">
        <x:v>CCN(CC)C(C)C(=O)c1ccccc1</x:v>
      </x:c>
      <x:c r="C67" s="10" t="n">
        <x:v>15</x:v>
      </x:c>
      <x:c r="D67" s="10" t="n">
        <x:v>1</x:v>
      </x:c>
      <x:c r="E67" s="10" t="n">
        <x:v>1</x:v>
      </x:c>
      <x:c r="F67" s="10" t="n">
        <x:f>C67-E67+D67</x:f>
        <x:v>15</x:v>
      </x:c>
      <x:c r="G67" s="11" t="n">
        <x:f>POWER(2,F67)</x:f>
        <x:v>32768</x:v>
      </x:c>
      <x:c r="H67" s="11" t="n">
        <x:f>G67/$L$3/3600</x:f>
        <x:v>0.0005632706165331064</x:v>
      </x:c>
      <x:c r="I67" s="9" t="str">
        <x:f>IF(F67&gt;=$L$2,"High","Low")</x:f>
        <x:v>Low</x:v>
      </x:c>
    </x:row>
    <x:row r="68">
      <x:c r="A68" s="9" t="str">
        <x:v>1224</x:v>
      </x:c>
      <x:c r="B68" s="12" t="str">
        <x:v>C[C@H]1[C@H](c2ccccc2)OCCN1C</x:v>
      </x:c>
      <x:c r="C68" s="10" t="n">
        <x:v>14</x:v>
      </x:c>
      <x:c r="D68" s="10" t="n">
        <x:v>2</x:v>
      </x:c>
      <x:c r="E68" s="10" t="n">
        <x:v>1</x:v>
      </x:c>
      <x:c r="F68" s="10" t="n">
        <x:f>C68-E68+D68</x:f>
        <x:v>15</x:v>
      </x:c>
      <x:c r="G68" s="11" t="n">
        <x:f>POWER(2,F68)</x:f>
        <x:v>32768</x:v>
      </x:c>
      <x:c r="H68" s="11" t="n">
        <x:f>G68/$L$3/3600</x:f>
        <x:v>0.0005632706165331064</x:v>
      </x:c>
      <x:c r="I68" s="9" t="str">
        <x:f>IF(F68&gt;=$L$2,"High","Low")</x:f>
        <x:v>Low</x:v>
      </x:c>
    </x:row>
    <x:row r="69">
      <x:c r="A69" s="9" t="str">
        <x:v>1182</x:v>
      </x:c>
      <x:c r="B69" s="12" t="str">
        <x:v>CCOP(=O)(OCC)SCC[N+](C)(C)C</x:v>
      </x:c>
      <x:c r="C69" s="10" t="n">
        <x:v>15</x:v>
      </x:c>
      <x:c r="D69" s="10" t="n">
        <x:v>0</x:v>
      </x:c>
      <x:c r="E69" s="10" t="n">
        <x:v>1</x:v>
      </x:c>
      <x:c r="F69" s="10" t="n">
        <x:f>C69-E69+D69</x:f>
        <x:v>14</x:v>
      </x:c>
      <x:c r="G69" s="11" t="n">
        <x:f>POWER(2,F69)</x:f>
        <x:v>16384</x:v>
      </x:c>
      <x:c r="H69" s="11" t="n">
        <x:f>G69/$L$3/3600</x:f>
        <x:v>0.0002816353082665532</x:v>
      </x:c>
      <x:c r="I69" s="9" t="str">
        <x:f>IF(F69&gt;=$L$2,"High","Low")</x:f>
        <x:v>Low</x:v>
      </x:c>
    </x:row>
    <x:row r="70">
      <x:c r="A70" s="9" t="str">
        <x:v>1149</x:v>
      </x:c>
      <x:c r="B70" s="12" t="str">
        <x:v>NCCCC(O)(P(=O)(O)O)P(=O)(O)O</x:v>
      </x:c>
      <x:c r="C70" s="10" t="n">
        <x:v>14</x:v>
      </x:c>
      <x:c r="D70" s="10" t="n">
        <x:v>0</x:v>
      </x:c>
      <x:c r="E70" s="10" t="n">
        <x:v>1</x:v>
      </x:c>
      <x:c r="F70" s="10" t="n">
        <x:f>C70-E70+D70</x:f>
        <x:v>13</x:v>
      </x:c>
      <x:c r="G70" s="11" t="n">
        <x:f>POWER(2,F70)</x:f>
        <x:v>8192</x:v>
      </x:c>
      <x:c r="H70" s="11" t="n">
        <x:f>G70/$L$3/3600</x:f>
        <x:v>0.0001408176541332766</x:v>
      </x:c>
      <x:c r="I70" s="9" t="str">
        <x:f>IF(F70&gt;=$L$2,"High","Low")</x:f>
        <x:v>Low</x:v>
      </x:c>
    </x:row>
    <x:row r="71">
      <x:c r="A71" s="9" t="str">
        <x:v>1150</x:v>
      </x:c>
      <x:c r="B71" s="12" t="str">
        <x:v>NC12CC3CC(CC(C3)C1)C2</x:v>
      </x:c>
      <x:c r="C71" s="10" t="n">
        <x:v>11</x:v>
      </x:c>
      <x:c r="D71" s="10" t="n">
        <x:v>3</x:v>
      </x:c>
      <x:c r="E71" s="10" t="n">
        <x:v>1</x:v>
      </x:c>
      <x:c r="F71" s="10" t="n">
        <x:f>C71-E71+D71</x:f>
        <x:v>13</x:v>
      </x:c>
      <x:c r="G71" s="11" t="n">
        <x:f>POWER(2,F71)</x:f>
        <x:v>8192</x:v>
      </x:c>
      <x:c r="H71" s="11" t="n">
        <x:f>G71/$L$3/3600</x:f>
        <x:v>0.0001408176541332766</x:v>
      </x:c>
      <x:c r="I71" s="9" t="str">
        <x:f>IF(F71&gt;=$L$2,"High","Low")</x:f>
        <x:v>Low</x:v>
      </x:c>
    </x:row>
    <x:row r="72">
      <x:c r="A72" s="9" t="str">
        <x:v>1193</x:v>
      </x:c>
      <x:c r="B72" s="12" t="str">
        <x:v>NNc1nncc2ccccc12</x:v>
      </x:c>
      <x:c r="C72" s="10" t="n">
        <x:v>12</x:v>
      </x:c>
      <x:c r="D72" s="10" t="n">
        <x:v>2</x:v>
      </x:c>
      <x:c r="E72" s="10" t="n">
        <x:v>1</x:v>
      </x:c>
      <x:c r="F72" s="10" t="n">
        <x:f>C72-E72+D72</x:f>
        <x:v>13</x:v>
      </x:c>
      <x:c r="G72" s="11" t="n">
        <x:f>POWER(2,F72)</x:f>
        <x:v>8192</x:v>
      </x:c>
      <x:c r="H72" s="11" t="n">
        <x:f>G72/$L$3/3600</x:f>
        <x:v>0.0001408176541332766</x:v>
      </x:c>
      <x:c r="I72" s="9" t="str">
        <x:f>IF(F72&gt;=$L$2,"High","Low")</x:f>
        <x:v>Low</x:v>
      </x:c>
    </x:row>
    <x:row r="73">
      <x:c r="A73" s="9" t="str">
        <x:v>1233</x:v>
      </x:c>
      <x:c r="B73" s="12" t="str">
        <x:v>CN(C)C(=O)Oc1ccc[n+](C)c1</x:v>
      </x:c>
      <x:c r="C73" s="10" t="n">
        <x:v>13</x:v>
      </x:c>
      <x:c r="D73" s="10" t="n">
        <x:v>1</x:v>
      </x:c>
      <x:c r="E73" s="10" t="n">
        <x:v>1</x:v>
      </x:c>
      <x:c r="F73" s="10" t="n">
        <x:f>C73-E73+D73</x:f>
        <x:v>13</x:v>
      </x:c>
      <x:c r="G73" s="11" t="n">
        <x:f>POWER(2,F73)</x:f>
        <x:v>8192</x:v>
      </x:c>
      <x:c r="H73" s="11" t="n">
        <x:f>G73/$L$3/3600</x:f>
        <x:v>0.0001408176541332766</x:v>
      </x:c>
      <x:c r="I73" s="9" t="str">
        <x:f>IF(F73&gt;=$L$2,"High","Low")</x:f>
        <x:v>Low</x:v>
      </x:c>
    </x:row>
    <x:row r="74">
      <x:c r="A74" s="9" t="str">
        <x:v>1184</x:v>
      </x:c>
      <x:c r="B74" s="12" t="str">
        <x:v>CN[C@@H](C)[C@H](O)c1ccccc1</x:v>
      </x:c>
      <x:c r="C74" s="10" t="n">
        <x:v>12</x:v>
      </x:c>
      <x:c r="D74" s="10" t="n">
        <x:v>1</x:v>
      </x:c>
      <x:c r="E74" s="10" t="n">
        <x:v>1</x:v>
      </x:c>
      <x:c r="F74" s="10" t="n">
        <x:f>C74-E74+D74</x:f>
        <x:v>12</x:v>
      </x:c>
      <x:c r="G74" s="11" t="n">
        <x:f>POWER(2,F74)</x:f>
        <x:v>4096</x:v>
      </x:c>
      <x:c r="H74" s="11" t="n">
        <x:f>G74/$L$3/3600</x:f>
        <x:v>0.0000704088270666383</x:v>
      </x:c>
      <x:c r="I74" s="9" t="str">
        <x:f>IF(F74&gt;=$L$2,"High","Low")</x:f>
        <x:v>Low</x:v>
      </x:c>
    </x:row>
    <x:row r="75">
      <x:c r="A75" s="9" t="str">
        <x:v>1219</x:v>
      </x:c>
      <x:c r="B75" s="12" t="str">
        <x:v>NCCC(O)(P(=O)(O)O)P(=O)(O)O</x:v>
      </x:c>
      <x:c r="C75" s="10" t="n">
        <x:v>13</x:v>
      </x:c>
      <x:c r="D75" s="10" t="n">
        <x:v>0</x:v>
      </x:c>
      <x:c r="E75" s="10" t="n">
        <x:v>1</x:v>
      </x:c>
      <x:c r="F75" s="10" t="n">
        <x:f>C75-E75+D75</x:f>
        <x:v>12</x:v>
      </x:c>
      <x:c r="G75" s="11" t="n">
        <x:f>POWER(2,F75)</x:f>
        <x:v>4096</x:v>
      </x:c>
      <x:c r="H75" s="11" t="n">
        <x:f>G75/$L$3/3600</x:f>
        <x:v>0.0000704088270666383</x:v>
      </x:c>
      <x:c r="I75" s="9" t="str">
        <x:f>IF(F75&gt;=$L$2,"High","Low")</x:f>
        <x:v>Low</x:v>
      </x:c>
    </x:row>
    <x:row r="76">
      <x:c r="A76" s="9" t="str">
        <x:v>1226</x:v>
      </x:c>
      <x:c r="B76" s="12" t="str">
        <x:v>CNC[C@H](O)c1cccc(O)c1</x:v>
      </x:c>
      <x:c r="C76" s="10" t="n">
        <x:v>12</x:v>
      </x:c>
      <x:c r="D76" s="10" t="n">
        <x:v>1</x:v>
      </x:c>
      <x:c r="E76" s="10" t="n">
        <x:v>1</x:v>
      </x:c>
      <x:c r="F76" s="10" t="n">
        <x:f>C76-E76+D76</x:f>
        <x:v>12</x:v>
      </x:c>
      <x:c r="G76" s="11" t="n">
        <x:f>POWER(2,F76)</x:f>
        <x:v>4096</x:v>
      </x:c>
      <x:c r="H76" s="11" t="n">
        <x:f>G76/$L$3/3600</x:f>
        <x:v>0.0000704088270666383</x:v>
      </x:c>
      <x:c r="I76" s="9" t="str">
        <x:f>IF(F76&gt;=$L$2,"High","Low")</x:f>
        <x:v>Low</x:v>
      </x:c>
    </x:row>
    <x:row r="77">
      <x:c r="A77" s="9" t="str">
        <x:v>1143</x:v>
      </x:c>
      <x:c r="B77" s="12" t="str">
        <x:v>CC(=O)NCCCS(=O)(=O)O</x:v>
      </x:c>
      <x:c r="C77" s="10" t="n">
        <x:v>11</x:v>
      </x:c>
      <x:c r="D77" s="10" t="n">
        <x:v>0</x:v>
      </x:c>
      <x:c r="E77" s="10" t="n">
        <x:v>1</x:v>
      </x:c>
      <x:c r="F77" s="10" t="n">
        <x:f>C77-E77+D77</x:f>
        <x:v>10</x:v>
      </x:c>
      <x:c r="G77" s="11" t="n">
        <x:f>POWER(2,F77)</x:f>
        <x:v>1024</x:v>
      </x:c>
      <x:c r="H77" s="11" t="n">
        <x:f>G77/$L$3/3600</x:f>
        <x:v>0.000017602206766659575</x:v>
      </x:c>
      <x:c r="I77" s="9" t="str">
        <x:f>IF(F77&gt;=$L$2,"High","Low")</x:f>
        <x:v>Low</x:v>
      </x:c>
    </x:row>
    <x:row r="78">
      <x:c r="A78" s="9" t="str">
        <x:v>1187</x:v>
      </x:c>
      <x:c r="B78" s="12" t="str">
        <x:v>CC(O)(P(=O)(O)O)P(=O)(O)O</x:v>
      </x:c>
      <x:c r="C78" s="10" t="n">
        <x:v>11</x:v>
      </x:c>
      <x:c r="D78" s="10" t="n">
        <x:v>0</x:v>
      </x:c>
      <x:c r="E78" s="10" t="n">
        <x:v>1</x:v>
      </x:c>
      <x:c r="F78" s="10" t="n">
        <x:f>C78-E78+D78</x:f>
        <x:v>10</x:v>
      </x:c>
      <x:c r="G78" s="11" t="n">
        <x:f>POWER(2,F78)</x:f>
        <x:v>1024</x:v>
      </x:c>
      <x:c r="H78" s="11" t="n">
        <x:f>G78/$L$3/3600</x:f>
        <x:v>0.000017602206766659575</x:v>
      </x:c>
      <x:c r="I78" s="9" t="str">
        <x:f>IF(F78&gt;=$L$2,"High","Low")</x:f>
        <x:v>Low</x:v>
      </x:c>
    </x:row>
    <x:row r="79">
      <x:c r="A79" s="9" t="str">
        <x:v>1228</x:v>
      </x:c>
      <x:c r="B79" s="12" t="str">
        <x:v>C[n+]1ccccc1/C=N/O</x:v>
      </x:c>
      <x:c r="C79" s="10" t="n">
        <x:v>10</x:v>
      </x:c>
      <x:c r="D79" s="10" t="n">
        <x:v>1</x:v>
      </x:c>
      <x:c r="E79" s="10" t="n">
        <x:v>1</x:v>
      </x:c>
      <x:c r="F79" s="10" t="n">
        <x:f>C79-E79+D79</x:f>
        <x:v>10</x:v>
      </x:c>
      <x:c r="G79" s="11" t="n">
        <x:f>POWER(2,F79)</x:f>
        <x:v>1024</x:v>
      </x:c>
      <x:c r="H79" s="11" t="n">
        <x:f>G79/$L$3/3600</x:f>
        <x:v>0.000017602206766659575</x:v>
      </x:c>
      <x:c r="I79" s="9" t="str">
        <x:f>IF(F79&gt;=$L$2,"High","Low")</x:f>
        <x:v>Low</x:v>
      </x:c>
    </x:row>
    <x:row r="80">
      <x:c r="A80" s="9" t="str">
        <x:v>1145</x:v>
      </x:c>
      <x:c r="B80" s="12" t="str">
        <x:v>CC(=O)OCC[N+](C)(C)C</x:v>
      </x:c>
      <x:c r="C80" s="10" t="n">
        <x:v>10</x:v>
      </x:c>
      <x:c r="D80" s="10" t="n">
        <x:v>0</x:v>
      </x:c>
      <x:c r="E80" s="10" t="n">
        <x:v>1</x:v>
      </x:c>
      <x:c r="F80" s="10" t="n">
        <x:f>C80-E80+D80</x:f>
        <x:v>9</x:v>
      </x:c>
      <x:c r="G80" s="11" t="n">
        <x:f>POWER(2,F80)</x:f>
        <x:v>512</x:v>
      </x:c>
      <x:c r="H80" s="11" t="n">
        <x:f>G80/$L$3/3600</x:f>
        <x:v>0.000008801103383329788</x:v>
      </x:c>
      <x:c r="I80" s="9" t="str">
        <x:f>IF(F80&gt;=$L$2,"High","Low")</x:f>
        <x:v>Low</x:v>
      </x:c>
    </x:row>
    <x:row r="81">
      <x:c r="A81" s="9" t="str">
        <x:v>1241</x:v>
      </x:c>
      <x:c r="B81" s="12" t="str">
        <x:v>O=C(O)c1ccccc1</x:v>
      </x:c>
      <x:c r="C81" s="10" t="n">
        <x:v>9</x:v>
      </x:c>
      <x:c r="D81" s="10" t="n">
        <x:v>1</x:v>
      </x:c>
      <x:c r="E81" s="10" t="n">
        <x:v>1</x:v>
      </x:c>
      <x:c r="F81" s="10" t="n">
        <x:f>C81-E81+D81</x:f>
        <x:v>9</x:v>
      </x:c>
      <x:c r="G81" s="11" t="n">
        <x:f>POWER(2,F81)</x:f>
        <x:v>512</x:v>
      </x:c>
      <x:c r="H81" s="11" t="n">
        <x:f>G81/$L$3/3600</x:f>
        <x:v>0.000008801103383329788</x:v>
      </x:c>
      <x:c r="I81" s="9" t="str">
        <x:f>IF(F81&gt;=$L$2,"High","Low")</x:f>
        <x:v>Low</x:v>
      </x:c>
    </x:row>
    <x:row r="82">
      <x:c r="A82" s="9" t="str">
        <x:v>1158</x:v>
      </x:c>
      <x:c r="B82" s="12" t="str">
        <x:v>C[N+](C)(C)CC(=O)[O-]</x:v>
      </x:c>
      <x:c r="C82" s="10" t="n">
        <x:v>8</x:v>
      </x:c>
      <x:c r="D82" s="10" t="n">
        <x:v>0</x:v>
      </x:c>
      <x:c r="E82" s="10" t="n">
        <x:v>1</x:v>
      </x:c>
      <x:c r="F82" s="10" t="n">
        <x:f>C82-E82+D82</x:f>
        <x:v>7</x:v>
      </x:c>
      <x:c r="G82" s="11" t="n">
        <x:f>POWER(2,F82)</x:f>
        <x:v>128</x:v>
      </x:c>
      <x:c r="H82" s="11" t="n">
        <x:f>G82/$L$3/3600</x:f>
        <x:v>0.000002200275845832447</x:v>
      </x:c>
      <x:c r="I82" s="9" t="str">
        <x:f>IF(F82&gt;=$L$2,"High","Low")</x:f>
        <x:v>Low</x:v>
      </x:c>
    </x:row>
  </x:sheetData>
  <x:conditionalFormatting sqref="I2:I82">
    <x:cfRule type="containsText" dxfId="2" priority="1" operator="containsText" text="High"/>
    <x:cfRule type="containsText" dxfId="3" priority="2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1f4cbfacc954bd8"/>
  </x:tableParts>
</x:worksheet>
</file>